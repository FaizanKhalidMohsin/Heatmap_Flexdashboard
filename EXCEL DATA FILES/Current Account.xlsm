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208" documentId="8_{DDAA6669-2325-48E8-B987-6366DC6CC7C5}" xr6:coauthVersionLast="45" xr6:coauthVersionMax="45" xr10:uidLastSave="{2166FB4A-6E43-458F-8A80-FD0A553043CA}"/>
  <bookViews>
    <workbookView xWindow="-28920" yWindow="-120" windowWidth="29040" windowHeight="15840" activeTab="1" xr2:uid="{00000000-000D-0000-FFFF-FFFF00000000}"/>
  </bookViews>
  <sheets>
    <sheet name="REQUEST_TABLE" sheetId="4" r:id="rId1"/>
    <sheet name="Current_Account " sheetId="5" r:id="rId2"/>
    <sheet name="Current_Account_M" sheetId="7" r:id="rId3"/>
    <sheet name="Nominal GDP" sheetId="6" r:id="rId4"/>
  </sheets>
  <functionGroups builtInGroupCount="19"/>
  <definedNames>
    <definedName name="TRNR_2b7b5849ccd34ffca642ef71fca28695_159_1" hidden="1">'Nominal GDP'!$A$1</definedName>
    <definedName name="TRNR_676f8cbc6cf5487b9dd3bd0131077512_105_1" hidden="1">#REF!</definedName>
    <definedName name="TRNR_d734651f06894c3f8794c706424731f1_159_1" hidden="1">Current_Account_M!$A$1</definedName>
    <definedName name="TRNR_efd9445bbb714bf799c2c02f30900473_159_1" hidden="1">'Current_Account 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2" i="5" l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4" i="5"/>
  <c r="C6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939F49A-F5AA-41CE-98CB-71B00C6AA04A}">
      <text>
        <r>
          <rPr>
            <sz val="9"/>
            <color indexed="81"/>
            <rFont val="Tahoma"/>
            <family val="2"/>
          </rPr>
          <t>=DSGRID("CNCURBALB"," ","01/01/1981","","Q","RowHeader=true;ColHeader=true;Code=true;DispSeriesDescription=false;YearlyTSFormat=false;QuarterlyTSFormat=false;Clearself=y;RTREQUESTROW=Current Account to GDP.xlsm|1","")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24CE0A0-BBF6-4BCD-B403-5331E7508555}">
      <text>
        <r>
          <rPr>
            <sz val="9"/>
            <color indexed="81"/>
            <rFont val="Tahoma"/>
            <family val="2"/>
          </rPr>
          <t>=DSGRID("CNCURBALB"," ","01/01/1981","","M","RowHeader=true;ColHeader=true;Code=true;DispSeriesDescription=false;YearlyTSFormat=false;QuarterlyTSFormat=false;Clearself=y;RTREQUESTROW=Current Account to GDP.xlsm|2","")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B39A381-752A-41CC-8E8D-0D60C6D8D331}">
      <text>
        <r>
          <rPr>
            <sz val="9"/>
            <color indexed="81"/>
            <rFont val="Tahoma"/>
            <family val="2"/>
          </rPr>
          <t>=DSGRID("CNGDP...B"," ","01/01/1981","","Q","RowHeader=true;ColHeader=true;Code=true;DispSeriesDescription=false;YearlyTSFormat=false;QuarterlyTSFormat=false;Clearself=y;RTREQUESTROW=Current Account to GDP.xlsm|3","")</t>
        </r>
      </text>
    </comment>
  </commentList>
</comments>
</file>

<file path=xl/sharedStrings.xml><?xml version="1.0" encoding="utf-8"?>
<sst xmlns="http://schemas.openxmlformats.org/spreadsheetml/2006/main" count="387" uniqueCount="200">
  <si>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</si>
  <si>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</si>
  <si>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</si>
  <si>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</si>
  <si>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</si>
  <si>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</si>
  <si>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</si>
  <si>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</si>
  <si>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</si>
  <si>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</si>
  <si>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</si>
  <si>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</si>
  <si>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</si>
  <si>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</si>
  <si>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</si>
  <si>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</si>
  <si>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</si>
  <si>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</si>
  <si>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</si>
  <si>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</si>
  <si>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</si>
  <si>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</si>
  <si>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</si>
  <si>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</si>
  <si>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</si>
  <si>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</si>
  <si>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Quarterly</t>
  </si>
  <si>
    <t>Monthly</t>
  </si>
  <si>
    <t>='Current_Account '!$A$1</t>
  </si>
  <si>
    <t>='Current_Account_M'!$A$1</t>
  </si>
  <si>
    <t>Name</t>
  </si>
  <si>
    <t>Code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</si>
  <si>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</si>
  <si>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</si>
  <si>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</si>
  <si>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</si>
  <si>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</si>
  <si>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</si>
  <si>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</si>
  <si>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</si>
  <si>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</si>
  <si>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</si>
  <si>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</si>
  <si>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</si>
  <si>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</si>
  <si>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</si>
  <si>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</si>
  <si>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</si>
  <si>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</si>
  <si>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</si>
  <si>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</si>
  <si>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</si>
  <si>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</si>
  <si>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</si>
  <si>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</si>
  <si>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</si>
  <si>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</si>
  <si>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</si>
  <si>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</si>
  <si>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</si>
  <si>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</si>
  <si>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</si>
  <si>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</si>
  <si>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</si>
  <si>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</si>
  <si>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</si>
  <si>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</si>
  <si>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</si>
  <si>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</si>
  <si>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</si>
  <si>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</si>
  <si>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</si>
  <si>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</si>
  <si>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</si>
  <si>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</si>
  <si>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</si>
  <si>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</si>
  <si>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</si>
  <si>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</si>
  <si>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</si>
  <si>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</si>
  <si>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</si>
  <si>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</si>
  <si>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</si>
  <si>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</si>
  <si>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</si>
  <si>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</si>
  <si>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</si>
  <si>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</si>
  <si>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</si>
  <si>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</si>
  <si>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</si>
  <si>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</si>
  <si>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</si>
  <si>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</si>
  <si>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</si>
  <si>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</si>
  <si>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</si>
  <si>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</si>
  <si>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</si>
  <si>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</si>
  <si>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</si>
  <si>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</si>
  <si>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</si>
  <si>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</si>
  <si>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</si>
  <si>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</si>
  <si>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</si>
  <si>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</si>
  <si>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</si>
  <si>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</si>
  <si>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</si>
  <si>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</si>
  <si>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</si>
  <si>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</si>
  <si>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</si>
  <si>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</si>
  <si>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</si>
  <si>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</si>
  <si>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</si>
  <si>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</si>
  <si>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</si>
  <si>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</si>
  <si>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</si>
  <si>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</si>
  <si>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</si>
  <si>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</si>
  <si>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</si>
  <si>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</si>
  <si>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</si>
  <si>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</si>
  <si>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</si>
  <si>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</si>
  <si>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</si>
  <si>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</si>
  <si>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NA</t>
  </si>
  <si>
    <t>OK</t>
  </si>
  <si>
    <t>CNV55365B,CNCURBALB</t>
  </si>
  <si>
    <t>CNCURBALB</t>
  </si>
  <si>
    <t>CNGDP...B</t>
  </si>
  <si>
    <t>='Nominal GDP'!$A$1</t>
  </si>
  <si>
    <t>CN BOP: CURRENT ACCOUNT BALANCE CURA</t>
  </si>
  <si>
    <t>CN GDP AT MARKET PRICES (AR) CURA</t>
  </si>
  <si>
    <t>01/01/1981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</si>
  <si>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</si>
  <si>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</si>
  <si>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</si>
  <si>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</si>
  <si>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</si>
  <si>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</si>
  <si>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</si>
  <si>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</si>
  <si>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</si>
  <si>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</si>
  <si>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</si>
  <si>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</si>
  <si>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</si>
  <si>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</si>
  <si>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</si>
  <si>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</si>
  <si>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</si>
  <si>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</si>
  <si>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</si>
  <si>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</si>
  <si>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</si>
  <si>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</si>
  <si>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</si>
  <si>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</si>
  <si>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</si>
  <si>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</si>
  <si>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</si>
  <si>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</si>
  <si>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</si>
  <si>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</si>
  <si>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</si>
  <si>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</si>
  <si>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</si>
  <si>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</si>
  <si>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</si>
  <si>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</si>
  <si>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</si>
  <si>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</si>
  <si>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</si>
  <si>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</si>
  <si>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</si>
  <si>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</si>
  <si>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</si>
  <si>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</si>
  <si>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</si>
  <si>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</si>
  <si>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</si>
  <si>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</si>
  <si>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</si>
  <si>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</si>
  <si>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</si>
  <si>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</si>
  <si>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Q4 2019</t>
  </si>
  <si>
    <t>Q1 2020</t>
  </si>
  <si>
    <t>Q2 2020</t>
  </si>
  <si>
    <t>2020-04-22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</si>
</sst>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5" borderId="0" xfId="0" applyNumberFormat="1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'Current_Account '!$D$4:$D$158</c:f>
              <c:numCache>
                <c:formatCode>General</c:formatCode>
                <c:ptCount val="155"/>
                <c:pt idx="0">
                  <c:v>15.495251017639063</c:v>
                </c:pt>
                <c:pt idx="1">
                  <c:v>2.279135338345867</c:v>
                </c:pt>
                <c:pt idx="2">
                  <c:v>-28.692855501952678</c:v>
                </c:pt>
                <c:pt idx="3">
                  <c:v>-86.243556701030926</c:v>
                </c:pt>
                <c:pt idx="4">
                  <c:v>-188.05620608899295</c:v>
                </c:pt>
                <c:pt idx="5">
                  <c:v>325</c:v>
                </c:pt>
                <c:pt idx="6">
                  <c:v>-78.911138923654562</c:v>
                </c:pt>
                <c:pt idx="7">
                  <c:v>-238.87240356083086</c:v>
                </c:pt>
                <c:pt idx="8">
                  <c:v>-119.65811965811966</c:v>
                </c:pt>
                <c:pt idx="9">
                  <c:v>-1514.1304347826087</c:v>
                </c:pt>
                <c:pt idx="10">
                  <c:v>42.50576479631053</c:v>
                </c:pt>
                <c:pt idx="11">
                  <c:v>-23.948220064724921</c:v>
                </c:pt>
                <c:pt idx="12">
                  <c:v>-42.978723404255312</c:v>
                </c:pt>
                <c:pt idx="13">
                  <c:v>-50.24875621890547</c:v>
                </c:pt>
                <c:pt idx="14">
                  <c:v>-225.75</c:v>
                </c:pt>
                <c:pt idx="15">
                  <c:v>-197.0178926441352</c:v>
                </c:pt>
                <c:pt idx="16">
                  <c:v>305.94262295081967</c:v>
                </c:pt>
                <c:pt idx="17">
                  <c:v>51.792024230186797</c:v>
                </c:pt>
                <c:pt idx="18">
                  <c:v>-6.252078483538412</c:v>
                </c:pt>
                <c:pt idx="19">
                  <c:v>46.754168144732176</c:v>
                </c:pt>
                <c:pt idx="20">
                  <c:v>-7.0824268793812024</c:v>
                </c:pt>
                <c:pt idx="21">
                  <c:v>11.888657648283043</c:v>
                </c:pt>
                <c:pt idx="22">
                  <c:v>-10.881190420832368</c:v>
                </c:pt>
                <c:pt idx="23">
                  <c:v>-8.400730498304199</c:v>
                </c:pt>
                <c:pt idx="24">
                  <c:v>14.639703788094565</c:v>
                </c:pt>
                <c:pt idx="25">
                  <c:v>14.33540372670808</c:v>
                </c:pt>
                <c:pt idx="26">
                  <c:v>38.418079096045204</c:v>
                </c:pt>
                <c:pt idx="27">
                  <c:v>-24.58398744113029</c:v>
                </c:pt>
                <c:pt idx="28">
                  <c:v>-13.717735220649459</c:v>
                </c:pt>
                <c:pt idx="29">
                  <c:v>39.155609167671884</c:v>
                </c:pt>
                <c:pt idx="30">
                  <c:v>-22.520804438280166</c:v>
                </c:pt>
                <c:pt idx="31">
                  <c:v>16.67039606175878</c:v>
                </c:pt>
                <c:pt idx="32">
                  <c:v>40.985807441503653</c:v>
                </c:pt>
                <c:pt idx="33">
                  <c:v>-8.5294517752686687</c:v>
                </c:pt>
                <c:pt idx="34">
                  <c:v>8.2391433670434395</c:v>
                </c:pt>
                <c:pt idx="35">
                  <c:v>1.7037647705413548</c:v>
                </c:pt>
                <c:pt idx="36">
                  <c:v>-26.992704674412309</c:v>
                </c:pt>
                <c:pt idx="37">
                  <c:v>-5.7549962990377566</c:v>
                </c:pt>
                <c:pt idx="38">
                  <c:v>17.258982917730222</c:v>
                </c:pt>
                <c:pt idx="39">
                  <c:v>7.9035498995311428</c:v>
                </c:pt>
                <c:pt idx="40">
                  <c:v>-5.8504034761017891</c:v>
                </c:pt>
                <c:pt idx="41">
                  <c:v>17.619910993901428</c:v>
                </c:pt>
                <c:pt idx="42">
                  <c:v>-8.5622197309417061</c:v>
                </c:pt>
                <c:pt idx="43">
                  <c:v>11.340996168582379</c:v>
                </c:pt>
                <c:pt idx="44">
                  <c:v>-9.0433585684790074</c:v>
                </c:pt>
                <c:pt idx="45">
                  <c:v>4.4340193704600352</c:v>
                </c:pt>
                <c:pt idx="46">
                  <c:v>-25.489059556586</c:v>
                </c:pt>
                <c:pt idx="47">
                  <c:v>17.891870867366791</c:v>
                </c:pt>
                <c:pt idx="48">
                  <c:v>12.702078521939967</c:v>
                </c:pt>
                <c:pt idx="49">
                  <c:v>13.553864168618261</c:v>
                </c:pt>
                <c:pt idx="50">
                  <c:v>3.274039700953864</c:v>
                </c:pt>
                <c:pt idx="51">
                  <c:v>-33.212680978532205</c:v>
                </c:pt>
                <c:pt idx="52">
                  <c:v>19.510371893104093</c:v>
                </c:pt>
                <c:pt idx="53">
                  <c:v>-44.159499609069584</c:v>
                </c:pt>
                <c:pt idx="54">
                  <c:v>-2.0162419490338834</c:v>
                </c:pt>
                <c:pt idx="55">
                  <c:v>-51.243212346384681</c:v>
                </c:pt>
                <c:pt idx="56">
                  <c:v>154.98241500586167</c:v>
                </c:pt>
                <c:pt idx="57">
                  <c:v>-57.839080459770116</c:v>
                </c:pt>
                <c:pt idx="58">
                  <c:v>-157.03380588876772</c:v>
                </c:pt>
                <c:pt idx="59">
                  <c:v>-97.896749521988525</c:v>
                </c:pt>
                <c:pt idx="60">
                  <c:v>11559.09090909091</c:v>
                </c:pt>
                <c:pt idx="61">
                  <c:v>-60.5458089668616</c:v>
                </c:pt>
                <c:pt idx="62">
                  <c:v>-102.76679841897233</c:v>
                </c:pt>
                <c:pt idx="63">
                  <c:v>2496.4285714285716</c:v>
                </c:pt>
                <c:pt idx="64">
                  <c:v>218.29436038514444</c:v>
                </c:pt>
                <c:pt idx="65">
                  <c:v>141.31374243733794</c:v>
                </c:pt>
                <c:pt idx="66">
                  <c:v>-37.249283667621782</c:v>
                </c:pt>
                <c:pt idx="67">
                  <c:v>11.329908675799089</c:v>
                </c:pt>
                <c:pt idx="68">
                  <c:v>-4.0502435273006938</c:v>
                </c:pt>
                <c:pt idx="69">
                  <c:v>-27.892065188351594</c:v>
                </c:pt>
                <c:pt idx="70">
                  <c:v>-16.821044831419044</c:v>
                </c:pt>
                <c:pt idx="71">
                  <c:v>-84.053452115812917</c:v>
                </c:pt>
                <c:pt idx="72">
                  <c:v>75.139664804469277</c:v>
                </c:pt>
                <c:pt idx="73">
                  <c:v>-394.89633173843697</c:v>
                </c:pt>
                <c:pt idx="74">
                  <c:v>-49.323958896700915</c:v>
                </c:pt>
                <c:pt idx="75">
                  <c:v>495.73105656350049</c:v>
                </c:pt>
                <c:pt idx="76">
                  <c:v>10.551773557864564</c:v>
                </c:pt>
                <c:pt idx="77">
                  <c:v>25.10128018149409</c:v>
                </c:pt>
                <c:pt idx="78">
                  <c:v>13.147668393782382</c:v>
                </c:pt>
                <c:pt idx="79">
                  <c:v>22.266742987979399</c:v>
                </c:pt>
                <c:pt idx="80">
                  <c:v>-31.348314606741582</c:v>
                </c:pt>
                <c:pt idx="81">
                  <c:v>-44.080741953082381</c:v>
                </c:pt>
                <c:pt idx="82">
                  <c:v>-21.634146341463406</c:v>
                </c:pt>
                <c:pt idx="83">
                  <c:v>120.57267351384996</c:v>
                </c:pt>
                <c:pt idx="84">
                  <c:v>-22.040355580640608</c:v>
                </c:pt>
                <c:pt idx="85">
                  <c:v>-23.511312217194572</c:v>
                </c:pt>
                <c:pt idx="86">
                  <c:v>-8.2820634169427336</c:v>
                </c:pt>
                <c:pt idx="87">
                  <c:v>-5.9597523219814263</c:v>
                </c:pt>
                <c:pt idx="88">
                  <c:v>-74.019204389574753</c:v>
                </c:pt>
                <c:pt idx="89">
                  <c:v>451.10876451953538</c:v>
                </c:pt>
                <c:pt idx="90">
                  <c:v>7.9900364054416428</c:v>
                </c:pt>
                <c:pt idx="91">
                  <c:v>21.096522356281056</c:v>
                </c:pt>
                <c:pt idx="92">
                  <c:v>32.219780219780233</c:v>
                </c:pt>
                <c:pt idx="93">
                  <c:v>-12.355939716312065</c:v>
                </c:pt>
                <c:pt idx="94">
                  <c:v>-4.3368314578328437</c:v>
                </c:pt>
                <c:pt idx="95">
                  <c:v>-58.815754692043356</c:v>
                </c:pt>
                <c:pt idx="96">
                  <c:v>24.518613607188698</c:v>
                </c:pt>
                <c:pt idx="97">
                  <c:v>103.94329896907215</c:v>
                </c:pt>
                <c:pt idx="98">
                  <c:v>57.866801465942132</c:v>
                </c:pt>
                <c:pt idx="99">
                  <c:v>-45.349023374959977</c:v>
                </c:pt>
                <c:pt idx="100">
                  <c:v>-33.660465797568477</c:v>
                </c:pt>
                <c:pt idx="101">
                  <c:v>8.9423713844115582</c:v>
                </c:pt>
                <c:pt idx="102">
                  <c:v>8.1272800972841566</c:v>
                </c:pt>
                <c:pt idx="103">
                  <c:v>-25.585754451733834</c:v>
                </c:pt>
                <c:pt idx="104">
                  <c:v>48.765743073047872</c:v>
                </c:pt>
                <c:pt idx="105">
                  <c:v>-79.309177108025736</c:v>
                </c:pt>
                <c:pt idx="106">
                  <c:v>54.74631751227497</c:v>
                </c:pt>
                <c:pt idx="107">
                  <c:v>95.187731359069289</c:v>
                </c:pt>
                <c:pt idx="108">
                  <c:v>50.907613112977515</c:v>
                </c:pt>
                <c:pt idx="109">
                  <c:v>-26.858168761220824</c:v>
                </c:pt>
                <c:pt idx="110">
                  <c:v>-367.42758959253803</c:v>
                </c:pt>
                <c:pt idx="111">
                  <c:v>-2.1110601193207827</c:v>
                </c:pt>
                <c:pt idx="112">
                  <c:v>2.5879043600562426</c:v>
                </c:pt>
                <c:pt idx="113">
                  <c:v>18.99277945343205</c:v>
                </c:pt>
                <c:pt idx="114">
                  <c:v>-14.816806206313842</c:v>
                </c:pt>
                <c:pt idx="115">
                  <c:v>20.090171325518497</c:v>
                </c:pt>
                <c:pt idx="116">
                  <c:v>8.8902237573209106</c:v>
                </c:pt>
                <c:pt idx="117">
                  <c:v>38.153358157495518</c:v>
                </c:pt>
                <c:pt idx="118">
                  <c:v>-42.620414275018717</c:v>
                </c:pt>
                <c:pt idx="119">
                  <c:v>16.605775922059848</c:v>
                </c:pt>
                <c:pt idx="120">
                  <c:v>2.312569936590819</c:v>
                </c:pt>
                <c:pt idx="121">
                  <c:v>-27.648559970834853</c:v>
                </c:pt>
                <c:pt idx="122">
                  <c:v>11.538849138365407</c:v>
                </c:pt>
                <c:pt idx="123">
                  <c:v>19.145283700758938</c:v>
                </c:pt>
                <c:pt idx="124">
                  <c:v>31.402138469705022</c:v>
                </c:pt>
                <c:pt idx="125">
                  <c:v>-0.23084025854109314</c:v>
                </c:pt>
                <c:pt idx="126">
                  <c:v>-2.9615918556223875</c:v>
                </c:pt>
                <c:pt idx="127">
                  <c:v>-9.8772055317119793</c:v>
                </c:pt>
                <c:pt idx="128">
                  <c:v>3.174813149017794</c:v>
                </c:pt>
                <c:pt idx="129">
                  <c:v>-9.8531957176742111</c:v>
                </c:pt>
                <c:pt idx="130">
                  <c:v>6.5211207509600229</c:v>
                </c:pt>
                <c:pt idx="131">
                  <c:v>-21.189665531744438</c:v>
                </c:pt>
                <c:pt idx="132">
                  <c:v>-13.460398136382892</c:v>
                </c:pt>
                <c:pt idx="133">
                  <c:v>-6.5289741581832459</c:v>
                </c:pt>
                <c:pt idx="134">
                  <c:v>54.03707194470627</c:v>
                </c:pt>
                <c:pt idx="135">
                  <c:v>31.341355632605882</c:v>
                </c:pt>
                <c:pt idx="136">
                  <c:v>-13.794709871111337</c:v>
                </c:pt>
                <c:pt idx="137">
                  <c:v>-5.8304311276570218</c:v>
                </c:pt>
                <c:pt idx="138">
                  <c:v>14.219218261812159</c:v>
                </c:pt>
                <c:pt idx="139">
                  <c:v>4.0696700720147305</c:v>
                </c:pt>
                <c:pt idx="140">
                  <c:v>-4.4791331402210091</c:v>
                </c:pt>
                <c:pt idx="141">
                  <c:v>-7.839613635087332</c:v>
                </c:pt>
                <c:pt idx="142">
                  <c:v>-40.935957589421733</c:v>
                </c:pt>
                <c:pt idx="143">
                  <c:v>19.931909625502925</c:v>
                </c:pt>
                <c:pt idx="144">
                  <c:v>22.812903225806451</c:v>
                </c:pt>
                <c:pt idx="145">
                  <c:v>25.901800098059823</c:v>
                </c:pt>
                <c:pt idx="146">
                  <c:v>-9.2294853963838648</c:v>
                </c:pt>
                <c:pt idx="147">
                  <c:v>-5.9573424859034105</c:v>
                </c:pt>
                <c:pt idx="148">
                  <c:v>-5.7481751824817451</c:v>
                </c:pt>
                <c:pt idx="149">
                  <c:v>-31.205918960033188</c:v>
                </c:pt>
                <c:pt idx="150">
                  <c:v>58.24706000603075</c:v>
                </c:pt>
                <c:pt idx="151">
                  <c:v>10.162601626016254</c:v>
                </c:pt>
                <c:pt idx="152">
                  <c:v>-51.435654981549817</c:v>
                </c:pt>
                <c:pt idx="153">
                  <c:v>28.980173334916287</c:v>
                </c:pt>
                <c:pt idx="154">
                  <c:v>-19.394329896907209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3-4AEF-A91A-1845288E1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6656783"/>
        <c:axId val="1809957039"/>
      </c:lineChart>
      <c:catAx>
        <c:axId val="1586656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957039"/>
        <c:crosses val="autoZero"/>
        <c:auto val="1"/>
        <c:lblAlgn val="ctr"/>
        <c:lblOffset val="100"/>
        <c:noMultiLvlLbl val="0"/>
      </c:catAx>
      <c:valAx>
        <c:axId val="180995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65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1190625</xdr:colOff>
      <xdr:row>10</xdr:row>
      <xdr:rowOff>142875</xdr:rowOff>
    </xdr:from>
    <xdr:to>
      <xdr:col>12</xdr:col>
      <xdr:colOff>2312868</xdr:colOff>
      <xdr:row>42</xdr:row>
      <xdr:rowOff>57904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581275"/>
          <a:ext cx="10517068" cy="540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5</xdr:col>
      <xdr:colOff>1095375</xdr:colOff>
      <xdr:row>43</xdr:row>
      <xdr:rowOff>38871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2609850"/>
          <a:ext cx="7505700" cy="55252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132</xdr:row>
      <xdr:rowOff>90487</xdr:rowOff>
    </xdr:from>
    <xdr:to>
      <xdr:col>18</xdr:col>
      <xdr:colOff>228600</xdr:colOff>
      <xdr:row>147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C33812-224C-486C-BB70-0417C42D11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opLeftCell="C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199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5" t="s">
        <v>11</v>
      </c>
      <c r="M5" s="8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6"/>
      <c r="M6" s="8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138</v>
      </c>
      <c r="F7" s="77"/>
      <c r="G7" s="77" t="s">
        <v>143</v>
      </c>
      <c r="H7" s="77"/>
      <c r="I7" s="78" t="s">
        <v>26</v>
      </c>
      <c r="J7" s="53" t="s">
        <v>28</v>
      </c>
      <c r="K7" s="79" t="s">
        <v>28</v>
      </c>
      <c r="L7" s="77" t="s">
        <v>136</v>
      </c>
      <c r="M7" s="53"/>
      <c r="N7" s="55">
        <v>159</v>
      </c>
      <c r="O7" s="55">
        <v>2</v>
      </c>
      <c r="P7" s="56">
        <v>318</v>
      </c>
      <c r="Q7" s="57">
        <v>0.48721064814814818</v>
      </c>
      <c r="R7" s="57">
        <v>0.48724537037037036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138</v>
      </c>
      <c r="F8" s="77"/>
      <c r="G8" s="77" t="s">
        <v>143</v>
      </c>
      <c r="H8" s="77"/>
      <c r="I8" s="78" t="s">
        <v>27</v>
      </c>
      <c r="J8" s="61" t="s">
        <v>29</v>
      </c>
      <c r="K8" s="78" t="s">
        <v>29</v>
      </c>
      <c r="L8" s="77" t="s">
        <v>136</v>
      </c>
      <c r="M8" s="53"/>
      <c r="N8" s="55">
        <v>159</v>
      </c>
      <c r="O8" s="55">
        <v>2</v>
      </c>
      <c r="P8" s="56">
        <v>318</v>
      </c>
      <c r="Q8" s="57">
        <v>0.48721064814814818</v>
      </c>
      <c r="R8" s="57">
        <v>0.4872569444444444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6" t="s">
        <v>23</v>
      </c>
      <c r="C9" s="76" t="s">
        <v>24</v>
      </c>
      <c r="D9" s="76" t="s">
        <v>25</v>
      </c>
      <c r="E9" s="77" t="s">
        <v>139</v>
      </c>
      <c r="F9" s="77"/>
      <c r="G9" s="77" t="s">
        <v>143</v>
      </c>
      <c r="H9" s="77"/>
      <c r="I9" s="78" t="s">
        <v>26</v>
      </c>
      <c r="J9" s="61" t="s">
        <v>140</v>
      </c>
      <c r="K9" s="78" t="s">
        <v>140</v>
      </c>
      <c r="L9" s="77" t="s">
        <v>136</v>
      </c>
      <c r="M9" s="53"/>
      <c r="N9" s="55">
        <v>159</v>
      </c>
      <c r="O9" s="55">
        <v>2</v>
      </c>
      <c r="P9" s="56">
        <v>318</v>
      </c>
      <c r="Q9" s="57">
        <v>0.48721064814814818</v>
      </c>
      <c r="R9" s="57">
        <v>0.48728009259259258</v>
      </c>
      <c r="S9" s="57">
        <v>5.7870370370370366E-5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6"/>
      <c r="C10" s="76"/>
      <c r="D10" s="76"/>
      <c r="E10" s="77"/>
      <c r="F10" s="77"/>
      <c r="G10" s="77"/>
      <c r="H10" s="77"/>
      <c r="I10" s="78"/>
      <c r="J10" s="61"/>
      <c r="K10" s="78"/>
      <c r="L10" s="77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 t="s">
        <v>137</v>
      </c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C9B02BFE-CF6A-44CB-9529-CC16C8EDD468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6844-8514-4F07-AE65-E3C653D15461}">
  <sheetPr codeName="Sheet2"/>
  <dimension ref="A1:D162"/>
  <sheetViews>
    <sheetView tabSelected="1" topLeftCell="A124" workbookViewId="0">
      <selection activeCell="G72" sqref="G72"/>
    </sheetView>
  </sheetViews>
  <sheetFormatPr defaultRowHeight="14.5" x14ac:dyDescent="0.35"/>
  <sheetData>
    <row r="1" spans="1:4" x14ac:dyDescent="0.35">
      <c r="A1" s="81" t="s">
        <v>30</v>
      </c>
      <c r="B1" s="82" t="s">
        <v>141</v>
      </c>
    </row>
    <row r="2" spans="1:4" x14ac:dyDescent="0.35">
      <c r="A2" s="82" t="s">
        <v>31</v>
      </c>
      <c r="B2" s="82" t="s">
        <v>138</v>
      </c>
    </row>
    <row r="3" spans="1:4" s="88" customFormat="1" x14ac:dyDescent="0.35">
      <c r="A3" s="87" t="s">
        <v>144</v>
      </c>
      <c r="B3" s="87">
        <v>-3685</v>
      </c>
    </row>
    <row r="4" spans="1:4" x14ac:dyDescent="0.35">
      <c r="A4" s="82" t="s">
        <v>145</v>
      </c>
      <c r="B4" s="82">
        <v>-4256</v>
      </c>
      <c r="D4">
        <f>B4/B3*100-100</f>
        <v>15.495251017639063</v>
      </c>
    </row>
    <row r="5" spans="1:4" x14ac:dyDescent="0.35">
      <c r="A5" s="82" t="s">
        <v>146</v>
      </c>
      <c r="B5" s="82">
        <v>-4353</v>
      </c>
      <c r="D5">
        <f t="shared" ref="D5:D68" si="0">B5/B4*100-100</f>
        <v>2.279135338345867</v>
      </c>
    </row>
    <row r="6" spans="1:4" x14ac:dyDescent="0.35">
      <c r="A6" s="82" t="s">
        <v>147</v>
      </c>
      <c r="B6" s="82">
        <v>-3104</v>
      </c>
      <c r="D6">
        <f t="shared" si="0"/>
        <v>-28.692855501952678</v>
      </c>
    </row>
    <row r="7" spans="1:4" s="88" customFormat="1" x14ac:dyDescent="0.35">
      <c r="A7" s="87" t="s">
        <v>148</v>
      </c>
      <c r="B7" s="87">
        <v>-427</v>
      </c>
      <c r="C7" s="88">
        <f>B7/B3*100-100</f>
        <v>-88.412483039348714</v>
      </c>
      <c r="D7">
        <f t="shared" si="0"/>
        <v>-86.243556701030926</v>
      </c>
    </row>
    <row r="8" spans="1:4" x14ac:dyDescent="0.35">
      <c r="A8" s="82" t="s">
        <v>149</v>
      </c>
      <c r="B8" s="82">
        <v>376</v>
      </c>
      <c r="C8" s="88">
        <f t="shared" ref="C8:C71" si="1">B8/B4*100-100</f>
        <v>-108.83458646616542</v>
      </c>
      <c r="D8">
        <f t="shared" si="0"/>
        <v>-188.05620608899295</v>
      </c>
    </row>
    <row r="9" spans="1:4" x14ac:dyDescent="0.35">
      <c r="A9" s="82" t="s">
        <v>150</v>
      </c>
      <c r="B9" s="82">
        <v>1598</v>
      </c>
      <c r="C9" s="88">
        <f t="shared" si="1"/>
        <v>-136.71031472547668</v>
      </c>
      <c r="D9">
        <f t="shared" si="0"/>
        <v>325</v>
      </c>
    </row>
    <row r="10" spans="1:4" x14ac:dyDescent="0.35">
      <c r="A10" s="82" t="s">
        <v>151</v>
      </c>
      <c r="B10" s="82">
        <v>337</v>
      </c>
      <c r="C10" s="88">
        <f t="shared" si="1"/>
        <v>-110.85695876288659</v>
      </c>
      <c r="D10">
        <f t="shared" si="0"/>
        <v>-78.911138923654562</v>
      </c>
    </row>
    <row r="11" spans="1:4" x14ac:dyDescent="0.35">
      <c r="A11" s="82" t="s">
        <v>152</v>
      </c>
      <c r="B11" s="82">
        <v>-468</v>
      </c>
      <c r="C11" s="88">
        <f t="shared" si="1"/>
        <v>9.6018735362997774</v>
      </c>
      <c r="D11">
        <f t="shared" si="0"/>
        <v>-238.87240356083086</v>
      </c>
    </row>
    <row r="12" spans="1:4" x14ac:dyDescent="0.35">
      <c r="A12" s="82" t="s">
        <v>153</v>
      </c>
      <c r="B12" s="82">
        <v>92</v>
      </c>
      <c r="C12" s="88">
        <f t="shared" si="1"/>
        <v>-75.531914893617028</v>
      </c>
      <c r="D12">
        <f t="shared" si="0"/>
        <v>-119.65811965811966</v>
      </c>
    </row>
    <row r="13" spans="1:4" x14ac:dyDescent="0.35">
      <c r="A13" s="82" t="s">
        <v>154</v>
      </c>
      <c r="B13" s="82">
        <v>-1301</v>
      </c>
      <c r="C13" s="88">
        <f t="shared" si="1"/>
        <v>-181.41426783479349</v>
      </c>
      <c r="D13">
        <f t="shared" si="0"/>
        <v>-1514.1304347826087</v>
      </c>
    </row>
    <row r="14" spans="1:4" x14ac:dyDescent="0.35">
      <c r="A14" s="82" t="s">
        <v>155</v>
      </c>
      <c r="B14" s="82">
        <v>-1854</v>
      </c>
      <c r="C14" s="88">
        <f t="shared" si="1"/>
        <v>-650.14836795252222</v>
      </c>
      <c r="D14">
        <f t="shared" si="0"/>
        <v>42.50576479631053</v>
      </c>
    </row>
    <row r="15" spans="1:4" x14ac:dyDescent="0.35">
      <c r="A15" s="82" t="s">
        <v>156</v>
      </c>
      <c r="B15" s="82">
        <v>-1410</v>
      </c>
      <c r="C15" s="88">
        <f t="shared" si="1"/>
        <v>201.28205128205127</v>
      </c>
      <c r="D15">
        <f t="shared" si="0"/>
        <v>-23.948220064724921</v>
      </c>
    </row>
    <row r="16" spans="1:4" x14ac:dyDescent="0.35">
      <c r="A16" s="82" t="s">
        <v>157</v>
      </c>
      <c r="B16" s="82">
        <v>-804</v>
      </c>
      <c r="C16" s="88">
        <f t="shared" si="1"/>
        <v>-973.91304347826099</v>
      </c>
      <c r="D16">
        <f t="shared" si="0"/>
        <v>-42.978723404255312</v>
      </c>
    </row>
    <row r="17" spans="1:4" x14ac:dyDescent="0.35">
      <c r="A17" s="82" t="s">
        <v>158</v>
      </c>
      <c r="B17" s="82">
        <v>-400</v>
      </c>
      <c r="C17" s="88">
        <f t="shared" si="1"/>
        <v>-69.254419677171413</v>
      </c>
      <c r="D17">
        <f t="shared" si="0"/>
        <v>-50.24875621890547</v>
      </c>
    </row>
    <row r="18" spans="1:4" x14ac:dyDescent="0.35">
      <c r="A18" s="82" t="s">
        <v>159</v>
      </c>
      <c r="B18" s="82">
        <v>503</v>
      </c>
      <c r="C18" s="88">
        <f t="shared" si="1"/>
        <v>-127.13052858683926</v>
      </c>
      <c r="D18">
        <f t="shared" si="0"/>
        <v>-225.75</v>
      </c>
    </row>
    <row r="19" spans="1:4" x14ac:dyDescent="0.35">
      <c r="A19" s="82" t="s">
        <v>160</v>
      </c>
      <c r="B19" s="82">
        <v>-488</v>
      </c>
      <c r="C19" s="88">
        <f t="shared" si="1"/>
        <v>-65.390070921985824</v>
      </c>
      <c r="D19">
        <f t="shared" si="0"/>
        <v>-197.0178926441352</v>
      </c>
    </row>
    <row r="20" spans="1:4" x14ac:dyDescent="0.35">
      <c r="A20" s="82" t="s">
        <v>161</v>
      </c>
      <c r="B20" s="82">
        <v>-1981</v>
      </c>
      <c r="C20" s="88">
        <f t="shared" si="1"/>
        <v>146.39303482587061</v>
      </c>
      <c r="D20">
        <f t="shared" si="0"/>
        <v>305.94262295081967</v>
      </c>
    </row>
    <row r="21" spans="1:4" x14ac:dyDescent="0.35">
      <c r="A21" s="82" t="s">
        <v>162</v>
      </c>
      <c r="B21" s="82">
        <v>-3007</v>
      </c>
      <c r="C21" s="88">
        <f t="shared" si="1"/>
        <v>651.75</v>
      </c>
      <c r="D21">
        <f t="shared" si="0"/>
        <v>51.792024230186797</v>
      </c>
    </row>
    <row r="22" spans="1:4" x14ac:dyDescent="0.35">
      <c r="A22" s="82" t="s">
        <v>163</v>
      </c>
      <c r="B22" s="82">
        <v>-2819</v>
      </c>
      <c r="C22" s="88">
        <f t="shared" si="1"/>
        <v>-660.43737574552677</v>
      </c>
      <c r="D22">
        <f t="shared" si="0"/>
        <v>-6.252078483538412</v>
      </c>
    </row>
    <row r="23" spans="1:4" x14ac:dyDescent="0.35">
      <c r="A23" s="82" t="s">
        <v>164</v>
      </c>
      <c r="B23" s="82">
        <v>-4137</v>
      </c>
      <c r="C23" s="88">
        <f t="shared" si="1"/>
        <v>747.74590163934431</v>
      </c>
      <c r="D23">
        <f t="shared" si="0"/>
        <v>46.754168144732176</v>
      </c>
    </row>
    <row r="24" spans="1:4" x14ac:dyDescent="0.35">
      <c r="A24" s="82" t="s">
        <v>165</v>
      </c>
      <c r="B24" s="82">
        <v>-3844</v>
      </c>
      <c r="C24" s="88">
        <f t="shared" si="1"/>
        <v>94.043412417970728</v>
      </c>
      <c r="D24">
        <f t="shared" si="0"/>
        <v>-7.0824268793812024</v>
      </c>
    </row>
    <row r="25" spans="1:4" x14ac:dyDescent="0.35">
      <c r="A25" s="82" t="s">
        <v>166</v>
      </c>
      <c r="B25" s="82">
        <v>-4301</v>
      </c>
      <c r="C25" s="88">
        <f t="shared" si="1"/>
        <v>43.032923179248428</v>
      </c>
      <c r="D25">
        <f t="shared" si="0"/>
        <v>11.888657648283043</v>
      </c>
    </row>
    <row r="26" spans="1:4" x14ac:dyDescent="0.35">
      <c r="A26" s="82" t="s">
        <v>167</v>
      </c>
      <c r="B26" s="82">
        <v>-3833</v>
      </c>
      <c r="C26" s="88">
        <f t="shared" si="1"/>
        <v>35.970202199361466</v>
      </c>
      <c r="D26">
        <f t="shared" si="0"/>
        <v>-10.881190420832368</v>
      </c>
    </row>
    <row r="27" spans="1:4" x14ac:dyDescent="0.35">
      <c r="A27" s="82" t="s">
        <v>168</v>
      </c>
      <c r="B27" s="82">
        <v>-3511</v>
      </c>
      <c r="C27" s="88">
        <f t="shared" si="1"/>
        <v>-15.131737974377572</v>
      </c>
      <c r="D27">
        <f t="shared" si="0"/>
        <v>-8.400730498304199</v>
      </c>
    </row>
    <row r="28" spans="1:4" x14ac:dyDescent="0.35">
      <c r="A28" s="82" t="s">
        <v>169</v>
      </c>
      <c r="B28" s="82">
        <v>-4025</v>
      </c>
      <c r="C28" s="88">
        <f t="shared" si="1"/>
        <v>4.7086368366285285</v>
      </c>
      <c r="D28">
        <f t="shared" si="0"/>
        <v>14.639703788094565</v>
      </c>
    </row>
    <row r="29" spans="1:4" x14ac:dyDescent="0.35">
      <c r="A29" s="82" t="s">
        <v>170</v>
      </c>
      <c r="B29" s="82">
        <v>-4602</v>
      </c>
      <c r="C29" s="88">
        <f t="shared" si="1"/>
        <v>6.9983724715182376</v>
      </c>
      <c r="D29">
        <f t="shared" si="0"/>
        <v>14.33540372670808</v>
      </c>
    </row>
    <row r="30" spans="1:4" x14ac:dyDescent="0.35">
      <c r="A30" s="82" t="s">
        <v>171</v>
      </c>
      <c r="B30" s="82">
        <v>-6370</v>
      </c>
      <c r="C30" s="88">
        <f t="shared" si="1"/>
        <v>66.188364205583099</v>
      </c>
      <c r="D30">
        <f t="shared" si="0"/>
        <v>38.418079096045204</v>
      </c>
    </row>
    <row r="31" spans="1:4" x14ac:dyDescent="0.35">
      <c r="A31" s="82" t="s">
        <v>172</v>
      </c>
      <c r="B31" s="82">
        <v>-4804</v>
      </c>
      <c r="C31" s="88">
        <f t="shared" si="1"/>
        <v>36.82711478211337</v>
      </c>
      <c r="D31">
        <f t="shared" si="0"/>
        <v>-24.58398744113029</v>
      </c>
    </row>
    <row r="32" spans="1:4" x14ac:dyDescent="0.35">
      <c r="A32" s="82" t="s">
        <v>173</v>
      </c>
      <c r="B32" s="82">
        <v>-4145</v>
      </c>
      <c r="C32" s="88">
        <f t="shared" si="1"/>
        <v>2.9813664596273242</v>
      </c>
      <c r="D32">
        <f t="shared" si="0"/>
        <v>-13.717735220649459</v>
      </c>
    </row>
    <row r="33" spans="1:4" x14ac:dyDescent="0.35">
      <c r="A33" s="82" t="s">
        <v>174</v>
      </c>
      <c r="B33" s="82">
        <v>-5768</v>
      </c>
      <c r="C33" s="88">
        <f t="shared" si="1"/>
        <v>25.336810082572796</v>
      </c>
      <c r="D33">
        <f t="shared" si="0"/>
        <v>39.155609167671884</v>
      </c>
    </row>
    <row r="34" spans="1:4" x14ac:dyDescent="0.35">
      <c r="A34" s="82" t="s">
        <v>175</v>
      </c>
      <c r="B34" s="82">
        <v>-4469</v>
      </c>
      <c r="C34" s="88">
        <f t="shared" si="1"/>
        <v>-29.843014128728413</v>
      </c>
      <c r="D34">
        <f t="shared" si="0"/>
        <v>-22.520804438280166</v>
      </c>
    </row>
    <row r="35" spans="1:4" x14ac:dyDescent="0.35">
      <c r="A35" s="82" t="s">
        <v>176</v>
      </c>
      <c r="B35" s="82">
        <v>-5214</v>
      </c>
      <c r="C35" s="88">
        <f t="shared" si="1"/>
        <v>8.5345545378851</v>
      </c>
      <c r="D35">
        <f t="shared" si="0"/>
        <v>16.67039606175878</v>
      </c>
    </row>
    <row r="36" spans="1:4" x14ac:dyDescent="0.35">
      <c r="A36" s="82" t="s">
        <v>177</v>
      </c>
      <c r="B36" s="82">
        <v>-7351</v>
      </c>
      <c r="C36" s="88">
        <f t="shared" si="1"/>
        <v>77.346200241254508</v>
      </c>
      <c r="D36">
        <f t="shared" si="0"/>
        <v>40.985807441503653</v>
      </c>
    </row>
    <row r="37" spans="1:4" x14ac:dyDescent="0.35">
      <c r="A37" s="82" t="s">
        <v>178</v>
      </c>
      <c r="B37" s="82">
        <v>-6724</v>
      </c>
      <c r="C37" s="88">
        <f t="shared" si="1"/>
        <v>16.574202496532592</v>
      </c>
      <c r="D37">
        <f t="shared" si="0"/>
        <v>-8.5294517752686687</v>
      </c>
    </row>
    <row r="38" spans="1:4" x14ac:dyDescent="0.35">
      <c r="A38" s="82" t="s">
        <v>179</v>
      </c>
      <c r="B38" s="82">
        <v>-7278</v>
      </c>
      <c r="C38" s="88">
        <f t="shared" si="1"/>
        <v>62.855224882524055</v>
      </c>
      <c r="D38">
        <f t="shared" si="0"/>
        <v>8.2391433670434395</v>
      </c>
    </row>
    <row r="39" spans="1:4" x14ac:dyDescent="0.35">
      <c r="A39" s="82" t="s">
        <v>180</v>
      </c>
      <c r="B39" s="82">
        <v>-7402</v>
      </c>
      <c r="C39" s="88">
        <f t="shared" si="1"/>
        <v>41.963943229766016</v>
      </c>
      <c r="D39">
        <f t="shared" si="0"/>
        <v>1.7037647705413548</v>
      </c>
    </row>
    <row r="40" spans="1:4" x14ac:dyDescent="0.35">
      <c r="A40" s="82" t="s">
        <v>181</v>
      </c>
      <c r="B40" s="82">
        <v>-5404</v>
      </c>
      <c r="C40" s="88">
        <f t="shared" si="1"/>
        <v>-26.48619235478165</v>
      </c>
      <c r="D40">
        <f t="shared" si="0"/>
        <v>-26.992704674412309</v>
      </c>
    </row>
    <row r="41" spans="1:4" x14ac:dyDescent="0.35">
      <c r="A41" s="82" t="s">
        <v>182</v>
      </c>
      <c r="B41" s="82">
        <v>-5093</v>
      </c>
      <c r="C41" s="88">
        <f t="shared" si="1"/>
        <v>-24.256395002974415</v>
      </c>
      <c r="D41">
        <f t="shared" si="0"/>
        <v>-5.7549962990377566</v>
      </c>
    </row>
    <row r="42" spans="1:4" x14ac:dyDescent="0.35">
      <c r="A42" s="82" t="s">
        <v>183</v>
      </c>
      <c r="B42" s="82">
        <v>-5972</v>
      </c>
      <c r="C42" s="88">
        <f t="shared" si="1"/>
        <v>-17.944490244572691</v>
      </c>
      <c r="D42">
        <f t="shared" si="0"/>
        <v>17.258982917730222</v>
      </c>
    </row>
    <row r="43" spans="1:4" x14ac:dyDescent="0.35">
      <c r="A43" s="82" t="s">
        <v>184</v>
      </c>
      <c r="B43" s="82">
        <v>-6444</v>
      </c>
      <c r="C43" s="88">
        <f t="shared" si="1"/>
        <v>-12.942447987030533</v>
      </c>
      <c r="D43">
        <f t="shared" si="0"/>
        <v>7.9035498995311428</v>
      </c>
    </row>
    <row r="44" spans="1:4" x14ac:dyDescent="0.35">
      <c r="A44" s="82" t="s">
        <v>185</v>
      </c>
      <c r="B44" s="82">
        <v>-6067</v>
      </c>
      <c r="C44" s="88">
        <f t="shared" si="1"/>
        <v>12.26868985936342</v>
      </c>
      <c r="D44">
        <f t="shared" si="0"/>
        <v>-5.8504034761017891</v>
      </c>
    </row>
    <row r="45" spans="1:4" x14ac:dyDescent="0.35">
      <c r="A45" s="82" t="s">
        <v>186</v>
      </c>
      <c r="B45" s="82">
        <v>-7136</v>
      </c>
      <c r="C45" s="88">
        <f t="shared" si="1"/>
        <v>40.113881798547027</v>
      </c>
      <c r="D45">
        <f t="shared" si="0"/>
        <v>17.619910993901428</v>
      </c>
    </row>
    <row r="46" spans="1:4" x14ac:dyDescent="0.35">
      <c r="A46" s="82" t="s">
        <v>187</v>
      </c>
      <c r="B46" s="82">
        <v>-6525</v>
      </c>
      <c r="C46" s="88">
        <f t="shared" si="1"/>
        <v>9.2598794373744084</v>
      </c>
      <c r="D46">
        <f t="shared" si="0"/>
        <v>-8.5622197309417061</v>
      </c>
    </row>
    <row r="47" spans="1:4" x14ac:dyDescent="0.35">
      <c r="A47" s="82" t="s">
        <v>188</v>
      </c>
      <c r="B47" s="82">
        <v>-7265</v>
      </c>
      <c r="C47" s="88">
        <f t="shared" si="1"/>
        <v>12.740533829919315</v>
      </c>
      <c r="D47">
        <f t="shared" si="0"/>
        <v>11.340996168582379</v>
      </c>
    </row>
    <row r="48" spans="1:4" x14ac:dyDescent="0.35">
      <c r="A48" s="82" t="s">
        <v>189</v>
      </c>
      <c r="B48" s="82">
        <v>-6608</v>
      </c>
      <c r="C48" s="88">
        <f t="shared" si="1"/>
        <v>8.9170924674468495</v>
      </c>
      <c r="D48">
        <f t="shared" si="0"/>
        <v>-9.0433585684790074</v>
      </c>
    </row>
    <row r="49" spans="1:4" x14ac:dyDescent="0.35">
      <c r="A49" s="82" t="s">
        <v>190</v>
      </c>
      <c r="B49" s="82">
        <v>-6901</v>
      </c>
      <c r="C49" s="88">
        <f t="shared" si="1"/>
        <v>-3.2931614349775771</v>
      </c>
      <c r="D49">
        <f t="shared" si="0"/>
        <v>4.4340193704600352</v>
      </c>
    </row>
    <row r="50" spans="1:4" x14ac:dyDescent="0.35">
      <c r="A50" s="82" t="s">
        <v>191</v>
      </c>
      <c r="B50" s="82">
        <v>-5142</v>
      </c>
      <c r="C50" s="88">
        <f t="shared" si="1"/>
        <v>-21.195402298850581</v>
      </c>
      <c r="D50">
        <f t="shared" si="0"/>
        <v>-25.489059556586</v>
      </c>
    </row>
    <row r="51" spans="1:4" x14ac:dyDescent="0.35">
      <c r="A51" s="82" t="s">
        <v>192</v>
      </c>
      <c r="B51" s="82">
        <v>-6062</v>
      </c>
      <c r="C51" s="88">
        <f t="shared" si="1"/>
        <v>-16.558843771507227</v>
      </c>
      <c r="D51">
        <f t="shared" si="0"/>
        <v>17.891870867366791</v>
      </c>
    </row>
    <row r="52" spans="1:4" x14ac:dyDescent="0.35">
      <c r="A52" s="82" t="s">
        <v>193</v>
      </c>
      <c r="B52" s="82">
        <v>-6832</v>
      </c>
      <c r="C52" s="88">
        <f t="shared" si="1"/>
        <v>3.3898305084745743</v>
      </c>
      <c r="D52">
        <f t="shared" si="0"/>
        <v>12.702078521939967</v>
      </c>
    </row>
    <row r="53" spans="1:4" x14ac:dyDescent="0.35">
      <c r="A53" s="82" t="s">
        <v>194</v>
      </c>
      <c r="B53" s="82">
        <v>-7758</v>
      </c>
      <c r="C53" s="88">
        <f t="shared" si="1"/>
        <v>12.418490073902348</v>
      </c>
      <c r="D53">
        <f t="shared" si="0"/>
        <v>13.553864168618261</v>
      </c>
    </row>
    <row r="54" spans="1:4" x14ac:dyDescent="0.35">
      <c r="A54" s="82" t="s">
        <v>195</v>
      </c>
      <c r="B54" s="82">
        <v>-8012</v>
      </c>
      <c r="C54" s="88">
        <f t="shared" si="1"/>
        <v>55.814858031894204</v>
      </c>
      <c r="D54">
        <f t="shared" si="0"/>
        <v>3.274039700953864</v>
      </c>
    </row>
    <row r="55" spans="1:4" x14ac:dyDescent="0.35">
      <c r="A55" s="82" t="s">
        <v>32</v>
      </c>
      <c r="B55" s="82">
        <v>-5351</v>
      </c>
      <c r="C55" s="88">
        <f t="shared" si="1"/>
        <v>-11.728802375453654</v>
      </c>
      <c r="D55">
        <f t="shared" si="0"/>
        <v>-33.212680978532205</v>
      </c>
    </row>
    <row r="56" spans="1:4" x14ac:dyDescent="0.35">
      <c r="A56" s="82" t="s">
        <v>33</v>
      </c>
      <c r="B56" s="82">
        <v>-6395</v>
      </c>
      <c r="C56" s="88">
        <f t="shared" si="1"/>
        <v>-6.3963700234192089</v>
      </c>
      <c r="D56">
        <f t="shared" si="0"/>
        <v>19.510371893104093</v>
      </c>
    </row>
    <row r="57" spans="1:4" x14ac:dyDescent="0.35">
      <c r="A57" s="82" t="s">
        <v>34</v>
      </c>
      <c r="B57" s="82">
        <v>-3571</v>
      </c>
      <c r="C57" s="88">
        <f t="shared" si="1"/>
        <v>-53.970095385408612</v>
      </c>
      <c r="D57">
        <f t="shared" si="0"/>
        <v>-44.159499609069584</v>
      </c>
    </row>
    <row r="58" spans="1:4" x14ac:dyDescent="0.35">
      <c r="A58" s="82" t="s">
        <v>35</v>
      </c>
      <c r="B58" s="82">
        <v>-3499</v>
      </c>
      <c r="C58" s="88">
        <f t="shared" si="1"/>
        <v>-56.328007988017973</v>
      </c>
      <c r="D58">
        <f t="shared" si="0"/>
        <v>-2.0162419490338834</v>
      </c>
    </row>
    <row r="59" spans="1:4" x14ac:dyDescent="0.35">
      <c r="A59" s="82" t="s">
        <v>36</v>
      </c>
      <c r="B59" s="82">
        <v>-1706</v>
      </c>
      <c r="C59" s="88">
        <f t="shared" si="1"/>
        <v>-68.118108764716879</v>
      </c>
      <c r="D59">
        <f t="shared" si="0"/>
        <v>-51.243212346384681</v>
      </c>
    </row>
    <row r="60" spans="1:4" x14ac:dyDescent="0.35">
      <c r="A60" s="82" t="s">
        <v>37</v>
      </c>
      <c r="B60" s="82">
        <v>-4350</v>
      </c>
      <c r="C60" s="88">
        <f t="shared" si="1"/>
        <v>-31.97810789679437</v>
      </c>
      <c r="D60">
        <f t="shared" si="0"/>
        <v>154.98241500586167</v>
      </c>
    </row>
    <row r="61" spans="1:4" x14ac:dyDescent="0.35">
      <c r="A61" s="82" t="s">
        <v>38</v>
      </c>
      <c r="B61" s="82">
        <v>-1834</v>
      </c>
      <c r="C61" s="88">
        <f t="shared" si="1"/>
        <v>-48.641837020442459</v>
      </c>
      <c r="D61">
        <f t="shared" si="0"/>
        <v>-57.839080459770116</v>
      </c>
    </row>
    <row r="62" spans="1:4" x14ac:dyDescent="0.35">
      <c r="A62" s="82" t="s">
        <v>39</v>
      </c>
      <c r="B62" s="82">
        <v>1046</v>
      </c>
      <c r="C62" s="88">
        <f t="shared" si="1"/>
        <v>-129.89425550157188</v>
      </c>
      <c r="D62">
        <f t="shared" si="0"/>
        <v>-157.03380588876772</v>
      </c>
    </row>
    <row r="63" spans="1:4" x14ac:dyDescent="0.35">
      <c r="A63" s="82" t="s">
        <v>40</v>
      </c>
      <c r="B63" s="82">
        <v>22</v>
      </c>
      <c r="C63" s="88">
        <f t="shared" si="1"/>
        <v>-101.28956623681125</v>
      </c>
      <c r="D63">
        <f t="shared" si="0"/>
        <v>-97.896749521988525</v>
      </c>
    </row>
    <row r="64" spans="1:4" x14ac:dyDescent="0.35">
      <c r="A64" s="82" t="s">
        <v>41</v>
      </c>
      <c r="B64" s="82">
        <v>2565</v>
      </c>
      <c r="C64" s="88">
        <f t="shared" si="1"/>
        <v>-158.9655172413793</v>
      </c>
      <c r="D64" s="89">
        <f t="shared" si="0"/>
        <v>11559.09090909091</v>
      </c>
    </row>
    <row r="65" spans="1:4" x14ac:dyDescent="0.35">
      <c r="A65" s="82" t="s">
        <v>42</v>
      </c>
      <c r="B65" s="82">
        <v>1012</v>
      </c>
      <c r="C65" s="88">
        <f t="shared" si="1"/>
        <v>-155.17993456924756</v>
      </c>
      <c r="D65">
        <f t="shared" si="0"/>
        <v>-60.5458089668616</v>
      </c>
    </row>
    <row r="66" spans="1:4" x14ac:dyDescent="0.35">
      <c r="A66" s="82" t="s">
        <v>43</v>
      </c>
      <c r="B66" s="82">
        <v>-28</v>
      </c>
      <c r="C66" s="88">
        <f t="shared" si="1"/>
        <v>-102.67686424474188</v>
      </c>
      <c r="D66">
        <f t="shared" si="0"/>
        <v>-102.76679841897233</v>
      </c>
    </row>
    <row r="67" spans="1:4" x14ac:dyDescent="0.35">
      <c r="A67" s="82" t="s">
        <v>44</v>
      </c>
      <c r="B67" s="82">
        <v>-727</v>
      </c>
      <c r="C67" s="88">
        <f>B67/B63*100-100</f>
        <v>-3404.5454545454545</v>
      </c>
      <c r="D67">
        <f t="shared" si="0"/>
        <v>2496.4285714285716</v>
      </c>
    </row>
    <row r="68" spans="1:4" x14ac:dyDescent="0.35">
      <c r="A68" s="82" t="s">
        <v>45</v>
      </c>
      <c r="B68" s="82">
        <v>-2314</v>
      </c>
      <c r="C68" s="88">
        <f t="shared" si="1"/>
        <v>-190.21442495126706</v>
      </c>
      <c r="D68">
        <f t="shared" si="0"/>
        <v>218.29436038514444</v>
      </c>
    </row>
    <row r="69" spans="1:4" x14ac:dyDescent="0.35">
      <c r="A69" s="82" t="s">
        <v>46</v>
      </c>
      <c r="B69" s="82">
        <v>-5584</v>
      </c>
      <c r="C69" s="88">
        <f t="shared" si="1"/>
        <v>-651.77865612648225</v>
      </c>
      <c r="D69">
        <f t="shared" ref="D69:D132" si="2">B69/B68*100-100</f>
        <v>141.31374243733794</v>
      </c>
    </row>
    <row r="70" spans="1:4" x14ac:dyDescent="0.35">
      <c r="A70" s="82" t="s">
        <v>47</v>
      </c>
      <c r="B70" s="82">
        <v>-3504</v>
      </c>
      <c r="C70" s="89">
        <f t="shared" si="1"/>
        <v>12414.285714285714</v>
      </c>
      <c r="D70">
        <f t="shared" si="2"/>
        <v>-37.249283667621782</v>
      </c>
    </row>
    <row r="71" spans="1:4" x14ac:dyDescent="0.35">
      <c r="A71" s="82" t="s">
        <v>48</v>
      </c>
      <c r="B71" s="82">
        <v>-3901</v>
      </c>
      <c r="C71" s="88">
        <f t="shared" si="1"/>
        <v>436.58872077028889</v>
      </c>
      <c r="D71">
        <f t="shared" si="2"/>
        <v>11.329908675799089</v>
      </c>
    </row>
    <row r="72" spans="1:4" x14ac:dyDescent="0.35">
      <c r="A72" s="82" t="s">
        <v>49</v>
      </c>
      <c r="B72" s="82">
        <v>-3743</v>
      </c>
      <c r="C72" s="88">
        <f t="shared" ref="C72:C135" si="3">B72/B68*100-100</f>
        <v>61.754537597234219</v>
      </c>
      <c r="D72">
        <f t="shared" si="2"/>
        <v>-4.0502435273006938</v>
      </c>
    </row>
    <row r="73" spans="1:4" x14ac:dyDescent="0.35">
      <c r="A73" s="82" t="s">
        <v>50</v>
      </c>
      <c r="B73" s="82">
        <v>-2699</v>
      </c>
      <c r="C73" s="88">
        <f t="shared" si="3"/>
        <v>-51.665472779369622</v>
      </c>
      <c r="D73">
        <f t="shared" si="2"/>
        <v>-27.892065188351594</v>
      </c>
    </row>
    <row r="74" spans="1:4" x14ac:dyDescent="0.35">
      <c r="A74" s="82" t="s">
        <v>51</v>
      </c>
      <c r="B74" s="82">
        <v>-2245</v>
      </c>
      <c r="C74" s="88">
        <f t="shared" si="3"/>
        <v>-35.930365296803657</v>
      </c>
      <c r="D74">
        <f t="shared" si="2"/>
        <v>-16.821044831419044</v>
      </c>
    </row>
    <row r="75" spans="1:4" x14ac:dyDescent="0.35">
      <c r="A75" s="82" t="s">
        <v>52</v>
      </c>
      <c r="B75" s="82">
        <v>-358</v>
      </c>
      <c r="C75" s="88">
        <f t="shared" si="3"/>
        <v>-90.822865931812359</v>
      </c>
      <c r="D75">
        <f t="shared" si="2"/>
        <v>-84.053452115812917</v>
      </c>
    </row>
    <row r="76" spans="1:4" x14ac:dyDescent="0.35">
      <c r="A76" s="82" t="s">
        <v>53</v>
      </c>
      <c r="B76" s="82">
        <v>-627</v>
      </c>
      <c r="C76" s="88">
        <f t="shared" si="3"/>
        <v>-83.248730964467001</v>
      </c>
      <c r="D76">
        <f t="shared" si="2"/>
        <v>75.139664804469277</v>
      </c>
    </row>
    <row r="77" spans="1:4" x14ac:dyDescent="0.35">
      <c r="A77" s="82" t="s">
        <v>54</v>
      </c>
      <c r="B77" s="82">
        <v>1849</v>
      </c>
      <c r="C77" s="88">
        <f t="shared" si="3"/>
        <v>-168.506854390515</v>
      </c>
      <c r="D77">
        <f t="shared" si="2"/>
        <v>-394.89633173843697</v>
      </c>
    </row>
    <row r="78" spans="1:4" x14ac:dyDescent="0.35">
      <c r="A78" s="82" t="s">
        <v>55</v>
      </c>
      <c r="B78" s="82">
        <v>937</v>
      </c>
      <c r="C78" s="88">
        <f t="shared" si="3"/>
        <v>-141.73719376391983</v>
      </c>
      <c r="D78">
        <f t="shared" si="2"/>
        <v>-49.323958896700915</v>
      </c>
    </row>
    <row r="79" spans="1:4" x14ac:dyDescent="0.35">
      <c r="A79" s="82" t="s">
        <v>56</v>
      </c>
      <c r="B79" s="82">
        <v>5582</v>
      </c>
      <c r="C79" s="88">
        <f t="shared" si="3"/>
        <v>-1659.217877094972</v>
      </c>
      <c r="D79">
        <f t="shared" si="2"/>
        <v>495.73105656350049</v>
      </c>
    </row>
    <row r="80" spans="1:4" x14ac:dyDescent="0.35">
      <c r="A80" s="82" t="s">
        <v>57</v>
      </c>
      <c r="B80" s="82">
        <v>6171</v>
      </c>
      <c r="C80" s="88">
        <f t="shared" si="3"/>
        <v>-1084.2105263157896</v>
      </c>
      <c r="D80">
        <f t="shared" si="2"/>
        <v>10.551773557864564</v>
      </c>
    </row>
    <row r="81" spans="1:4" x14ac:dyDescent="0.35">
      <c r="A81" s="82" t="s">
        <v>58</v>
      </c>
      <c r="B81" s="82">
        <v>7720</v>
      </c>
      <c r="C81" s="88">
        <f t="shared" si="3"/>
        <v>317.52298539751217</v>
      </c>
      <c r="D81">
        <f t="shared" si="2"/>
        <v>25.10128018149409</v>
      </c>
    </row>
    <row r="82" spans="1:4" x14ac:dyDescent="0.35">
      <c r="A82" s="82" t="s">
        <v>59</v>
      </c>
      <c r="B82" s="82">
        <v>8735</v>
      </c>
      <c r="C82" s="88">
        <f t="shared" si="3"/>
        <v>832.23052294557101</v>
      </c>
      <c r="D82">
        <f t="shared" si="2"/>
        <v>13.147668393782382</v>
      </c>
    </row>
    <row r="83" spans="1:4" x14ac:dyDescent="0.35">
      <c r="A83" s="82" t="s">
        <v>60</v>
      </c>
      <c r="B83" s="82">
        <v>10680</v>
      </c>
      <c r="C83" s="88">
        <f t="shared" si="3"/>
        <v>91.329272662128261</v>
      </c>
      <c r="D83">
        <f t="shared" si="2"/>
        <v>22.266742987979399</v>
      </c>
    </row>
    <row r="84" spans="1:4" x14ac:dyDescent="0.35">
      <c r="A84" s="82" t="s">
        <v>61</v>
      </c>
      <c r="B84" s="82">
        <v>7332</v>
      </c>
      <c r="C84" s="88">
        <f t="shared" si="3"/>
        <v>18.81380651434128</v>
      </c>
      <c r="D84">
        <f t="shared" si="2"/>
        <v>-31.348314606741582</v>
      </c>
    </row>
    <row r="85" spans="1:4" x14ac:dyDescent="0.35">
      <c r="A85" s="82" t="s">
        <v>62</v>
      </c>
      <c r="B85" s="82">
        <v>4100</v>
      </c>
      <c r="C85" s="88">
        <f t="shared" si="3"/>
        <v>-46.891191709844563</v>
      </c>
      <c r="D85">
        <f t="shared" si="2"/>
        <v>-44.080741953082381</v>
      </c>
    </row>
    <row r="86" spans="1:4" x14ac:dyDescent="0.35">
      <c r="A86" s="82" t="s">
        <v>63</v>
      </c>
      <c r="B86" s="82">
        <v>3213</v>
      </c>
      <c r="C86" s="88">
        <f t="shared" si="3"/>
        <v>-63.216943331425298</v>
      </c>
      <c r="D86">
        <f t="shared" si="2"/>
        <v>-21.634146341463406</v>
      </c>
    </row>
    <row r="87" spans="1:4" x14ac:dyDescent="0.35">
      <c r="A87" s="82" t="s">
        <v>64</v>
      </c>
      <c r="B87" s="82">
        <v>7087</v>
      </c>
      <c r="C87" s="88">
        <f t="shared" si="3"/>
        <v>-33.642322097378269</v>
      </c>
      <c r="D87">
        <f t="shared" si="2"/>
        <v>120.57267351384996</v>
      </c>
    </row>
    <row r="88" spans="1:4" x14ac:dyDescent="0.35">
      <c r="A88" s="82" t="s">
        <v>65</v>
      </c>
      <c r="B88" s="82">
        <v>5525</v>
      </c>
      <c r="C88" s="88">
        <f t="shared" si="3"/>
        <v>-24.645390070921991</v>
      </c>
      <c r="D88">
        <f t="shared" si="2"/>
        <v>-22.040355580640608</v>
      </c>
    </row>
    <row r="89" spans="1:4" x14ac:dyDescent="0.35">
      <c r="A89" s="82" t="s">
        <v>66</v>
      </c>
      <c r="B89" s="82">
        <v>4226</v>
      </c>
      <c r="C89" s="88">
        <f t="shared" si="3"/>
        <v>3.0731707317073216</v>
      </c>
      <c r="D89">
        <f t="shared" si="2"/>
        <v>-23.511312217194572</v>
      </c>
    </row>
    <row r="90" spans="1:4" x14ac:dyDescent="0.35">
      <c r="A90" s="82" t="s">
        <v>67</v>
      </c>
      <c r="B90" s="82">
        <v>3876</v>
      </c>
      <c r="C90" s="88">
        <f t="shared" si="3"/>
        <v>20.634920634920633</v>
      </c>
      <c r="D90">
        <f t="shared" si="2"/>
        <v>-8.2820634169427336</v>
      </c>
    </row>
    <row r="91" spans="1:4" x14ac:dyDescent="0.35">
      <c r="A91" s="82" t="s">
        <v>68</v>
      </c>
      <c r="B91" s="82">
        <v>3645</v>
      </c>
      <c r="C91" s="88">
        <f t="shared" si="3"/>
        <v>-48.567800197544798</v>
      </c>
      <c r="D91">
        <f t="shared" si="2"/>
        <v>-5.9597523219814263</v>
      </c>
    </row>
    <row r="92" spans="1:4" x14ac:dyDescent="0.35">
      <c r="A92" s="82" t="s">
        <v>69</v>
      </c>
      <c r="B92" s="82">
        <v>947</v>
      </c>
      <c r="C92" s="88">
        <f t="shared" si="3"/>
        <v>-82.859728506787334</v>
      </c>
      <c r="D92">
        <f t="shared" si="2"/>
        <v>-74.019204389574753</v>
      </c>
    </row>
    <row r="93" spans="1:4" x14ac:dyDescent="0.35">
      <c r="A93" s="82" t="s">
        <v>70</v>
      </c>
      <c r="B93" s="82">
        <v>5219</v>
      </c>
      <c r="C93" s="88">
        <f t="shared" si="3"/>
        <v>23.497397065783247</v>
      </c>
      <c r="D93">
        <f t="shared" si="2"/>
        <v>451.10876451953538</v>
      </c>
    </row>
    <row r="94" spans="1:4" x14ac:dyDescent="0.35">
      <c r="A94" s="82" t="s">
        <v>71</v>
      </c>
      <c r="B94" s="82">
        <v>5636</v>
      </c>
      <c r="C94" s="88">
        <f t="shared" si="3"/>
        <v>45.407636738906092</v>
      </c>
      <c r="D94">
        <f t="shared" si="2"/>
        <v>7.9900364054416428</v>
      </c>
    </row>
    <row r="95" spans="1:4" x14ac:dyDescent="0.35">
      <c r="A95" s="82" t="s">
        <v>72</v>
      </c>
      <c r="B95" s="82">
        <v>6825</v>
      </c>
      <c r="C95" s="88">
        <f t="shared" si="3"/>
        <v>87.242798353909478</v>
      </c>
      <c r="D95">
        <f t="shared" si="2"/>
        <v>21.096522356281056</v>
      </c>
    </row>
    <row r="96" spans="1:4" x14ac:dyDescent="0.35">
      <c r="A96" s="82" t="s">
        <v>73</v>
      </c>
      <c r="B96" s="82">
        <v>9024</v>
      </c>
      <c r="C96" s="88">
        <f t="shared" si="3"/>
        <v>852.90390707497363</v>
      </c>
      <c r="D96">
        <f t="shared" si="2"/>
        <v>32.219780219780233</v>
      </c>
    </row>
    <row r="97" spans="1:4" x14ac:dyDescent="0.35">
      <c r="A97" s="82" t="s">
        <v>74</v>
      </c>
      <c r="B97" s="82">
        <v>7909</v>
      </c>
      <c r="C97" s="88">
        <f t="shared" si="3"/>
        <v>51.542441080666777</v>
      </c>
      <c r="D97">
        <f t="shared" si="2"/>
        <v>-12.355939716312065</v>
      </c>
    </row>
    <row r="98" spans="1:4" x14ac:dyDescent="0.35">
      <c r="A98" s="82" t="s">
        <v>75</v>
      </c>
      <c r="B98" s="82">
        <v>7566</v>
      </c>
      <c r="C98" s="88">
        <f t="shared" si="3"/>
        <v>34.244144783534409</v>
      </c>
      <c r="D98">
        <f t="shared" si="2"/>
        <v>-4.3368314578328437</v>
      </c>
    </row>
    <row r="99" spans="1:4" x14ac:dyDescent="0.35">
      <c r="A99" s="82" t="s">
        <v>76</v>
      </c>
      <c r="B99" s="82">
        <v>3116</v>
      </c>
      <c r="C99" s="88">
        <f t="shared" si="3"/>
        <v>-54.344322344322343</v>
      </c>
      <c r="D99">
        <f t="shared" si="2"/>
        <v>-58.815754692043356</v>
      </c>
    </row>
    <row r="100" spans="1:4" x14ac:dyDescent="0.35">
      <c r="A100" s="82" t="s">
        <v>77</v>
      </c>
      <c r="B100" s="82">
        <v>3880</v>
      </c>
      <c r="C100" s="88">
        <f t="shared" si="3"/>
        <v>-57.00354609929078</v>
      </c>
      <c r="D100">
        <f t="shared" si="2"/>
        <v>24.518613607188698</v>
      </c>
    </row>
    <row r="101" spans="1:4" x14ac:dyDescent="0.35">
      <c r="A101" s="82" t="s">
        <v>78</v>
      </c>
      <c r="B101" s="82">
        <v>7913</v>
      </c>
      <c r="C101" s="88">
        <f t="shared" si="3"/>
        <v>5.0575293968904589E-2</v>
      </c>
      <c r="D101">
        <f t="shared" si="2"/>
        <v>103.94329896907215</v>
      </c>
    </row>
    <row r="102" spans="1:4" x14ac:dyDescent="0.35">
      <c r="A102" s="82" t="s">
        <v>79</v>
      </c>
      <c r="B102" s="82">
        <v>12492</v>
      </c>
      <c r="C102" s="88">
        <f t="shared" si="3"/>
        <v>65.107057890563027</v>
      </c>
      <c r="D102">
        <f t="shared" si="2"/>
        <v>57.866801465942132</v>
      </c>
    </row>
    <row r="103" spans="1:4" x14ac:dyDescent="0.35">
      <c r="A103" s="82" t="s">
        <v>80</v>
      </c>
      <c r="B103" s="82">
        <v>6827</v>
      </c>
      <c r="C103" s="88">
        <f t="shared" si="3"/>
        <v>119.09499358151473</v>
      </c>
      <c r="D103">
        <f t="shared" si="2"/>
        <v>-45.349023374959977</v>
      </c>
    </row>
    <row r="104" spans="1:4" x14ac:dyDescent="0.35">
      <c r="A104" s="82" t="s">
        <v>81</v>
      </c>
      <c r="B104" s="82">
        <v>4529</v>
      </c>
      <c r="C104" s="88">
        <f t="shared" si="3"/>
        <v>16.726804123711347</v>
      </c>
      <c r="D104">
        <f t="shared" si="2"/>
        <v>-33.660465797568477</v>
      </c>
    </row>
    <row r="105" spans="1:4" x14ac:dyDescent="0.35">
      <c r="A105" s="82" t="s">
        <v>82</v>
      </c>
      <c r="B105" s="82">
        <v>4934</v>
      </c>
      <c r="C105" s="88">
        <f t="shared" si="3"/>
        <v>-37.646910147857959</v>
      </c>
      <c r="D105">
        <f t="shared" si="2"/>
        <v>8.9423713844115582</v>
      </c>
    </row>
    <row r="106" spans="1:4" x14ac:dyDescent="0.35">
      <c r="A106" s="81" t="s">
        <v>83</v>
      </c>
      <c r="B106" s="82">
        <v>5335</v>
      </c>
      <c r="C106" s="88">
        <f t="shared" si="3"/>
        <v>-57.292667307076528</v>
      </c>
      <c r="D106">
        <f t="shared" si="2"/>
        <v>8.1272800972841566</v>
      </c>
    </row>
    <row r="107" spans="1:4" x14ac:dyDescent="0.35">
      <c r="A107" s="82" t="s">
        <v>84</v>
      </c>
      <c r="B107">
        <v>3970</v>
      </c>
      <c r="C107" s="88">
        <f t="shared" si="3"/>
        <v>-41.848542551633216</v>
      </c>
      <c r="D107">
        <f t="shared" si="2"/>
        <v>-25.585754451733834</v>
      </c>
    </row>
    <row r="108" spans="1:4" x14ac:dyDescent="0.35">
      <c r="A108" s="82" t="s">
        <v>85</v>
      </c>
      <c r="B108">
        <v>5906</v>
      </c>
      <c r="C108" s="88">
        <f t="shared" si="3"/>
        <v>30.404062706999326</v>
      </c>
      <c r="D108">
        <f t="shared" si="2"/>
        <v>48.765743073047872</v>
      </c>
    </row>
    <row r="109" spans="1:4" x14ac:dyDescent="0.35">
      <c r="A109" s="82" t="s">
        <v>86</v>
      </c>
      <c r="B109">
        <v>1222</v>
      </c>
      <c r="C109" s="88">
        <f t="shared" si="3"/>
        <v>-75.233076611268757</v>
      </c>
      <c r="D109">
        <f t="shared" si="2"/>
        <v>-79.309177108025736</v>
      </c>
    </row>
    <row r="110" spans="1:4" x14ac:dyDescent="0.35">
      <c r="A110" s="82" t="s">
        <v>87</v>
      </c>
      <c r="B110">
        <v>1891</v>
      </c>
      <c r="C110" s="88">
        <f t="shared" si="3"/>
        <v>-64.554826616682277</v>
      </c>
      <c r="D110">
        <f t="shared" si="2"/>
        <v>54.74631751227497</v>
      </c>
    </row>
    <row r="111" spans="1:4" x14ac:dyDescent="0.35">
      <c r="A111" s="82" t="s">
        <v>88</v>
      </c>
      <c r="B111">
        <v>3691</v>
      </c>
      <c r="C111" s="88">
        <f t="shared" si="3"/>
        <v>-7.0277078085642302</v>
      </c>
      <c r="D111">
        <f t="shared" si="2"/>
        <v>95.187731359069289</v>
      </c>
    </row>
    <row r="112" spans="1:4" x14ac:dyDescent="0.35">
      <c r="A112" s="82" t="s">
        <v>89</v>
      </c>
      <c r="B112">
        <v>5570</v>
      </c>
      <c r="C112" s="88">
        <f t="shared" si="3"/>
        <v>-5.6891296986115805</v>
      </c>
      <c r="D112">
        <f t="shared" si="2"/>
        <v>50.907613112977515</v>
      </c>
    </row>
    <row r="113" spans="1:4" x14ac:dyDescent="0.35">
      <c r="A113" s="82" t="s">
        <v>90</v>
      </c>
      <c r="B113">
        <v>4074</v>
      </c>
      <c r="C113" s="88">
        <f t="shared" si="3"/>
        <v>233.38788870703763</v>
      </c>
      <c r="D113">
        <f t="shared" si="2"/>
        <v>-26.858168761220824</v>
      </c>
    </row>
    <row r="114" spans="1:4" x14ac:dyDescent="0.35">
      <c r="A114" s="82" t="s">
        <v>91</v>
      </c>
      <c r="B114">
        <v>-10895</v>
      </c>
      <c r="C114" s="88">
        <f t="shared" si="3"/>
        <v>-676.15018508725541</v>
      </c>
      <c r="D114">
        <f t="shared" si="2"/>
        <v>-367.42758959253803</v>
      </c>
    </row>
    <row r="115" spans="1:4" x14ac:dyDescent="0.35">
      <c r="A115" s="82" t="s">
        <v>92</v>
      </c>
      <c r="B115">
        <v>-10665</v>
      </c>
      <c r="C115" s="88">
        <f t="shared" si="3"/>
        <v>-388.94608507179623</v>
      </c>
      <c r="D115">
        <f t="shared" si="2"/>
        <v>-2.1110601193207827</v>
      </c>
    </row>
    <row r="116" spans="1:4" x14ac:dyDescent="0.35">
      <c r="A116" s="82" t="s">
        <v>93</v>
      </c>
      <c r="B116">
        <v>-10941</v>
      </c>
      <c r="C116" s="88">
        <f t="shared" si="3"/>
        <v>-296.42728904847399</v>
      </c>
      <c r="D116">
        <f t="shared" si="2"/>
        <v>2.5879043600562426</v>
      </c>
    </row>
    <row r="117" spans="1:4" x14ac:dyDescent="0.35">
      <c r="A117" s="82" t="s">
        <v>94</v>
      </c>
      <c r="B117">
        <v>-13019</v>
      </c>
      <c r="C117" s="88">
        <f t="shared" si="3"/>
        <v>-419.56308296514482</v>
      </c>
      <c r="D117">
        <f t="shared" si="2"/>
        <v>18.99277945343205</v>
      </c>
    </row>
    <row r="118" spans="1:4" x14ac:dyDescent="0.35">
      <c r="A118" s="82" t="s">
        <v>95</v>
      </c>
      <c r="B118">
        <v>-11090</v>
      </c>
      <c r="C118" s="88">
        <f t="shared" si="3"/>
        <v>1.7898118402937229</v>
      </c>
      <c r="D118">
        <f t="shared" si="2"/>
        <v>-14.816806206313842</v>
      </c>
    </row>
    <row r="119" spans="1:4" x14ac:dyDescent="0.35">
      <c r="A119" s="82" t="s">
        <v>96</v>
      </c>
      <c r="B119">
        <v>-13318</v>
      </c>
      <c r="C119" s="88">
        <f t="shared" si="3"/>
        <v>24.875761837787152</v>
      </c>
      <c r="D119">
        <f t="shared" si="2"/>
        <v>20.090171325518497</v>
      </c>
    </row>
    <row r="120" spans="1:4" x14ac:dyDescent="0.35">
      <c r="A120" s="82" t="s">
        <v>97</v>
      </c>
      <c r="B120">
        <v>-14502</v>
      </c>
      <c r="C120" s="88">
        <f t="shared" si="3"/>
        <v>32.547299149986287</v>
      </c>
      <c r="D120">
        <f t="shared" si="2"/>
        <v>8.8902237573209106</v>
      </c>
    </row>
    <row r="121" spans="1:4" x14ac:dyDescent="0.35">
      <c r="A121" s="82" t="s">
        <v>98</v>
      </c>
      <c r="B121">
        <v>-20035</v>
      </c>
      <c r="C121" s="88">
        <f t="shared" si="3"/>
        <v>53.890467777863137</v>
      </c>
      <c r="D121">
        <f t="shared" si="2"/>
        <v>38.153358157495518</v>
      </c>
    </row>
    <row r="122" spans="1:4" x14ac:dyDescent="0.35">
      <c r="A122" s="82" t="s">
        <v>99</v>
      </c>
      <c r="B122">
        <v>-11496</v>
      </c>
      <c r="C122" s="88">
        <f t="shared" si="3"/>
        <v>3.6609558160505031</v>
      </c>
      <c r="D122">
        <f t="shared" si="2"/>
        <v>-42.620414275018717</v>
      </c>
    </row>
    <row r="123" spans="1:4" x14ac:dyDescent="0.35">
      <c r="A123" s="82" t="s">
        <v>100</v>
      </c>
      <c r="B123">
        <v>-13405</v>
      </c>
      <c r="C123" s="88">
        <f t="shared" si="3"/>
        <v>0.65325123892476711</v>
      </c>
      <c r="D123">
        <f t="shared" si="2"/>
        <v>16.605775922059848</v>
      </c>
    </row>
    <row r="124" spans="1:4" x14ac:dyDescent="0.35">
      <c r="A124" s="82" t="s">
        <v>101</v>
      </c>
      <c r="B124">
        <v>-13715</v>
      </c>
      <c r="C124" s="88">
        <f t="shared" si="3"/>
        <v>-5.4268376775617071</v>
      </c>
      <c r="D124">
        <f t="shared" si="2"/>
        <v>2.312569936590819</v>
      </c>
    </row>
    <row r="125" spans="1:4" x14ac:dyDescent="0.35">
      <c r="A125" s="82" t="s">
        <v>102</v>
      </c>
      <c r="B125">
        <v>-9923</v>
      </c>
      <c r="C125" s="88">
        <f t="shared" si="3"/>
        <v>-50.471674569503364</v>
      </c>
      <c r="D125">
        <f t="shared" si="2"/>
        <v>-27.648559970834853</v>
      </c>
    </row>
    <row r="126" spans="1:4" x14ac:dyDescent="0.35">
      <c r="A126" s="82" t="s">
        <v>103</v>
      </c>
      <c r="B126">
        <v>-11068</v>
      </c>
      <c r="C126" s="88">
        <f t="shared" si="3"/>
        <v>-3.7230340988169814</v>
      </c>
      <c r="D126">
        <f t="shared" si="2"/>
        <v>11.538849138365407</v>
      </c>
    </row>
    <row r="127" spans="1:4" x14ac:dyDescent="0.35">
      <c r="A127" s="82" t="s">
        <v>104</v>
      </c>
      <c r="B127">
        <v>-13187</v>
      </c>
      <c r="C127" s="88">
        <f t="shared" si="3"/>
        <v>-1.6262588586348272</v>
      </c>
      <c r="D127">
        <f t="shared" si="2"/>
        <v>19.145283700758938</v>
      </c>
    </row>
    <row r="128" spans="1:4" x14ac:dyDescent="0.35">
      <c r="A128" s="82" t="s">
        <v>105</v>
      </c>
      <c r="B128">
        <v>-17328</v>
      </c>
      <c r="C128" s="88">
        <f t="shared" si="3"/>
        <v>26.343419613561792</v>
      </c>
      <c r="D128">
        <f t="shared" si="2"/>
        <v>31.402138469705022</v>
      </c>
    </row>
    <row r="129" spans="1:4" x14ac:dyDescent="0.35">
      <c r="A129" s="82" t="s">
        <v>106</v>
      </c>
      <c r="B129">
        <v>-17288</v>
      </c>
      <c r="C129" s="88">
        <f t="shared" si="3"/>
        <v>74.22150559306661</v>
      </c>
      <c r="D129">
        <f t="shared" si="2"/>
        <v>-0.23084025854109314</v>
      </c>
    </row>
    <row r="130" spans="1:4" x14ac:dyDescent="0.35">
      <c r="A130" s="82" t="s">
        <v>107</v>
      </c>
      <c r="B130">
        <v>-16776</v>
      </c>
      <c r="C130" s="88">
        <f t="shared" si="3"/>
        <v>51.572099747018427</v>
      </c>
      <c r="D130">
        <f t="shared" si="2"/>
        <v>-2.9615918556223875</v>
      </c>
    </row>
    <row r="131" spans="1:4" x14ac:dyDescent="0.35">
      <c r="A131" s="82" t="s">
        <v>108</v>
      </c>
      <c r="B131">
        <v>-15119</v>
      </c>
      <c r="C131" s="88">
        <f t="shared" si="3"/>
        <v>14.650792447107008</v>
      </c>
      <c r="D131">
        <f t="shared" si="2"/>
        <v>-9.8772055317119793</v>
      </c>
    </row>
    <row r="132" spans="1:4" x14ac:dyDescent="0.35">
      <c r="A132" s="82" t="s">
        <v>109</v>
      </c>
      <c r="B132">
        <v>-15599</v>
      </c>
      <c r="C132" s="88">
        <f t="shared" si="3"/>
        <v>-9.9780701754385888</v>
      </c>
      <c r="D132">
        <f t="shared" si="2"/>
        <v>3.174813149017794</v>
      </c>
    </row>
    <row r="133" spans="1:4" x14ac:dyDescent="0.35">
      <c r="A133" s="82" t="s">
        <v>110</v>
      </c>
      <c r="B133">
        <v>-14062</v>
      </c>
      <c r="C133" s="88">
        <f t="shared" si="3"/>
        <v>-18.660342434058308</v>
      </c>
      <c r="D133">
        <f t="shared" ref="D133:D160" si="4">B133/B132*100-100</f>
        <v>-9.8531957176742111</v>
      </c>
    </row>
    <row r="134" spans="1:4" x14ac:dyDescent="0.35">
      <c r="A134" s="82" t="s">
        <v>111</v>
      </c>
      <c r="B134">
        <v>-14979</v>
      </c>
      <c r="C134" s="88">
        <f t="shared" si="3"/>
        <v>-10.711731044349065</v>
      </c>
      <c r="D134">
        <f t="shared" si="4"/>
        <v>6.5211207509600229</v>
      </c>
    </row>
    <row r="135" spans="1:4" x14ac:dyDescent="0.35">
      <c r="A135" s="82" t="s">
        <v>112</v>
      </c>
      <c r="B135">
        <v>-11805</v>
      </c>
      <c r="C135" s="88">
        <f t="shared" si="3"/>
        <v>-21.919439116343682</v>
      </c>
      <c r="D135">
        <f t="shared" si="4"/>
        <v>-21.189665531744438</v>
      </c>
    </row>
    <row r="136" spans="1:4" x14ac:dyDescent="0.35">
      <c r="A136" s="82" t="s">
        <v>113</v>
      </c>
      <c r="B136">
        <v>-10216</v>
      </c>
      <c r="C136" s="88">
        <f t="shared" ref="C136:C160" si="5">B136/B132*100-100</f>
        <v>-34.508622347586382</v>
      </c>
      <c r="D136">
        <f t="shared" si="4"/>
        <v>-13.460398136382892</v>
      </c>
    </row>
    <row r="137" spans="1:4" x14ac:dyDescent="0.35">
      <c r="A137" s="82" t="s">
        <v>114</v>
      </c>
      <c r="B137">
        <v>-9549</v>
      </c>
      <c r="C137" s="88">
        <f t="shared" si="5"/>
        <v>-32.093585549708436</v>
      </c>
      <c r="D137">
        <f t="shared" si="4"/>
        <v>-6.5289741581832459</v>
      </c>
    </row>
    <row r="138" spans="1:4" x14ac:dyDescent="0.35">
      <c r="A138" s="82" t="s">
        <v>115</v>
      </c>
      <c r="B138">
        <v>-14709</v>
      </c>
      <c r="C138" s="88">
        <f t="shared" si="5"/>
        <v>-1.8025235329461253</v>
      </c>
      <c r="D138">
        <f t="shared" si="4"/>
        <v>54.03707194470627</v>
      </c>
    </row>
    <row r="139" spans="1:4" x14ac:dyDescent="0.35">
      <c r="A139" s="82" t="s">
        <v>116</v>
      </c>
      <c r="B139">
        <v>-19319</v>
      </c>
      <c r="C139" s="88">
        <f t="shared" si="5"/>
        <v>63.650995340957223</v>
      </c>
      <c r="D139">
        <f t="shared" si="4"/>
        <v>31.341355632605882</v>
      </c>
    </row>
    <row r="140" spans="1:4" x14ac:dyDescent="0.35">
      <c r="A140" s="82" t="s">
        <v>117</v>
      </c>
      <c r="B140">
        <v>-16654</v>
      </c>
      <c r="C140" s="88">
        <f t="shared" si="5"/>
        <v>63.018794048551285</v>
      </c>
      <c r="D140">
        <f t="shared" si="4"/>
        <v>-13.794709871111337</v>
      </c>
    </row>
    <row r="141" spans="1:4" x14ac:dyDescent="0.35">
      <c r="A141" s="82" t="s">
        <v>118</v>
      </c>
      <c r="B141">
        <v>-15683</v>
      </c>
      <c r="C141" s="88">
        <f t="shared" si="5"/>
        <v>64.237092889307803</v>
      </c>
      <c r="D141">
        <f t="shared" si="4"/>
        <v>-5.8304311276570218</v>
      </c>
    </row>
    <row r="142" spans="1:4" x14ac:dyDescent="0.35">
      <c r="A142" s="82" t="s">
        <v>119</v>
      </c>
      <c r="B142">
        <v>-17913</v>
      </c>
      <c r="C142" s="88">
        <f t="shared" si="5"/>
        <v>21.782582092596357</v>
      </c>
      <c r="D142">
        <f t="shared" si="4"/>
        <v>14.219218261812159</v>
      </c>
    </row>
    <row r="143" spans="1:4" x14ac:dyDescent="0.35">
      <c r="A143" s="82" t="s">
        <v>120</v>
      </c>
      <c r="B143">
        <v>-18642</v>
      </c>
      <c r="C143" s="88">
        <f t="shared" si="5"/>
        <v>-3.5043221698845599</v>
      </c>
      <c r="D143">
        <f t="shared" si="4"/>
        <v>4.0696700720147305</v>
      </c>
    </row>
    <row r="144" spans="1:4" x14ac:dyDescent="0.35">
      <c r="A144" s="82" t="s">
        <v>121</v>
      </c>
      <c r="B144">
        <v>-17807</v>
      </c>
      <c r="C144" s="88">
        <f t="shared" si="5"/>
        <v>6.9232616788759316</v>
      </c>
      <c r="D144">
        <f t="shared" si="4"/>
        <v>-4.4791331402210091</v>
      </c>
    </row>
    <row r="145" spans="1:4" x14ac:dyDescent="0.35">
      <c r="A145" s="82" t="s">
        <v>122</v>
      </c>
      <c r="B145">
        <v>-16411</v>
      </c>
      <c r="C145" s="88">
        <f t="shared" si="5"/>
        <v>4.6419690110310512</v>
      </c>
      <c r="D145">
        <f t="shared" si="4"/>
        <v>-7.839613635087332</v>
      </c>
    </row>
    <row r="146" spans="1:4" x14ac:dyDescent="0.35">
      <c r="A146" s="82" t="s">
        <v>123</v>
      </c>
      <c r="B146">
        <v>-9693</v>
      </c>
      <c r="C146" s="88">
        <f t="shared" si="5"/>
        <v>-45.888460894322556</v>
      </c>
      <c r="D146">
        <f t="shared" si="4"/>
        <v>-40.935957589421733</v>
      </c>
    </row>
    <row r="147" spans="1:4" x14ac:dyDescent="0.35">
      <c r="A147" s="82" t="s">
        <v>124</v>
      </c>
      <c r="B147">
        <v>-11625</v>
      </c>
      <c r="C147" s="88">
        <f t="shared" si="5"/>
        <v>-37.640811071773413</v>
      </c>
      <c r="D147">
        <f t="shared" si="4"/>
        <v>19.931909625502925</v>
      </c>
    </row>
    <row r="148" spans="1:4" x14ac:dyDescent="0.35">
      <c r="A148" s="82" t="s">
        <v>125</v>
      </c>
      <c r="B148">
        <v>-14277</v>
      </c>
      <c r="C148" s="88">
        <f t="shared" si="5"/>
        <v>-19.823664850901338</v>
      </c>
      <c r="D148">
        <f t="shared" si="4"/>
        <v>22.812903225806451</v>
      </c>
    </row>
    <row r="149" spans="1:4" x14ac:dyDescent="0.35">
      <c r="A149" s="82" t="s">
        <v>126</v>
      </c>
      <c r="B149">
        <v>-17975</v>
      </c>
      <c r="C149" s="88">
        <f t="shared" si="5"/>
        <v>9.5301931631222914</v>
      </c>
      <c r="D149">
        <f t="shared" si="4"/>
        <v>25.901800098059823</v>
      </c>
    </row>
    <row r="150" spans="1:4" x14ac:dyDescent="0.35">
      <c r="A150" s="82" t="s">
        <v>127</v>
      </c>
      <c r="B150">
        <v>-16316</v>
      </c>
      <c r="C150" s="88">
        <f t="shared" si="5"/>
        <v>68.327659135458561</v>
      </c>
      <c r="D150">
        <f t="shared" si="4"/>
        <v>-9.2294853963838648</v>
      </c>
    </row>
    <row r="151" spans="1:4" x14ac:dyDescent="0.35">
      <c r="A151" s="82" t="s">
        <v>128</v>
      </c>
      <c r="B151">
        <v>-15344</v>
      </c>
      <c r="C151" s="88">
        <f t="shared" si="5"/>
        <v>31.991397849462373</v>
      </c>
      <c r="D151">
        <f t="shared" si="4"/>
        <v>-5.9573424859034105</v>
      </c>
    </row>
    <row r="152" spans="1:4" x14ac:dyDescent="0.35">
      <c r="A152" s="82" t="s">
        <v>129</v>
      </c>
      <c r="B152">
        <v>-14462</v>
      </c>
      <c r="C152" s="88">
        <f t="shared" si="5"/>
        <v>1.2957904321636136</v>
      </c>
      <c r="D152">
        <f t="shared" si="4"/>
        <v>-5.7481751824817451</v>
      </c>
    </row>
    <row r="153" spans="1:4" x14ac:dyDescent="0.35">
      <c r="A153" s="82" t="s">
        <v>130</v>
      </c>
      <c r="B153">
        <v>-9949</v>
      </c>
      <c r="C153" s="88">
        <f t="shared" si="5"/>
        <v>-44.650904033379689</v>
      </c>
      <c r="D153">
        <f t="shared" si="4"/>
        <v>-31.205918960033188</v>
      </c>
    </row>
    <row r="154" spans="1:4" x14ac:dyDescent="0.35">
      <c r="A154" s="82" t="s">
        <v>131</v>
      </c>
      <c r="B154">
        <v>-15744</v>
      </c>
      <c r="C154" s="88">
        <f t="shared" si="5"/>
        <v>-3.5057612159843075</v>
      </c>
      <c r="D154">
        <f t="shared" si="4"/>
        <v>58.24706000603075</v>
      </c>
    </row>
    <row r="155" spans="1:4" x14ac:dyDescent="0.35">
      <c r="A155" s="82" t="s">
        <v>132</v>
      </c>
      <c r="B155">
        <v>-17344</v>
      </c>
      <c r="C155" s="88">
        <f t="shared" si="5"/>
        <v>13.034410844629818</v>
      </c>
      <c r="D155">
        <f t="shared" si="4"/>
        <v>10.162601626016254</v>
      </c>
    </row>
    <row r="156" spans="1:4" x14ac:dyDescent="0.35">
      <c r="A156" s="82" t="s">
        <v>133</v>
      </c>
      <c r="B156">
        <v>-8423</v>
      </c>
      <c r="C156" s="88">
        <f t="shared" si="5"/>
        <v>-41.757709860323608</v>
      </c>
      <c r="D156">
        <f t="shared" si="4"/>
        <v>-51.435654981549817</v>
      </c>
    </row>
    <row r="157" spans="1:4" x14ac:dyDescent="0.35">
      <c r="A157" s="82" t="s">
        <v>134</v>
      </c>
      <c r="B157">
        <v>-10864</v>
      </c>
      <c r="C157" s="88">
        <f t="shared" si="5"/>
        <v>9.1969042114785395</v>
      </c>
      <c r="D157">
        <f t="shared" si="4"/>
        <v>28.980173334916287</v>
      </c>
    </row>
    <row r="158" spans="1:4" x14ac:dyDescent="0.35">
      <c r="A158" s="82" t="s">
        <v>196</v>
      </c>
      <c r="B158">
        <v>-8757</v>
      </c>
      <c r="C158" s="88">
        <f t="shared" si="5"/>
        <v>-44.37881097560976</v>
      </c>
      <c r="D158">
        <f t="shared" si="4"/>
        <v>-19.394329896907209</v>
      </c>
    </row>
    <row r="159" spans="1:4" x14ac:dyDescent="0.35">
      <c r="A159" s="82" t="s">
        <v>197</v>
      </c>
      <c r="B159" t="s">
        <v>135</v>
      </c>
      <c r="C159" s="88" t="e">
        <f t="shared" si="5"/>
        <v>#VALUE!</v>
      </c>
      <c r="D159" t="e">
        <f t="shared" si="4"/>
        <v>#VALUE!</v>
      </c>
    </row>
    <row r="160" spans="1:4" x14ac:dyDescent="0.35">
      <c r="A160" s="82" t="s">
        <v>198</v>
      </c>
      <c r="B160" t="s">
        <v>135</v>
      </c>
      <c r="C160" s="88" t="e">
        <f t="shared" si="5"/>
        <v>#VALUE!</v>
      </c>
      <c r="D160" t="e">
        <f t="shared" si="4"/>
        <v>#VALUE!</v>
      </c>
    </row>
    <row r="162" spans="4:4" x14ac:dyDescent="0.35">
      <c r="D162">
        <f>MAX(D4:D158)</f>
        <v>11559.09090909091</v>
      </c>
    </row>
  </sheetData>
  <dataValidations count="1">
    <dataValidation allowBlank="1" showErrorMessage="1" promptTitle="TRAFO" prompt="$A$1:$B$160" sqref="A1" xr:uid="{EB882C92-A8CE-4A16-9D74-E23D4C710F9A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B51C-C431-4E42-A6B7-E4A9147067B1}">
  <sheetPr codeName="Sheet4"/>
  <dimension ref="A1:B160"/>
  <sheetViews>
    <sheetView workbookViewId="0"/>
  </sheetViews>
  <sheetFormatPr defaultRowHeight="14.5" x14ac:dyDescent="0.35"/>
  <cols>
    <col min="1" max="1" width="10.453125" bestFit="1" customWidth="1"/>
  </cols>
  <sheetData>
    <row r="1" spans="1:2" x14ac:dyDescent="0.35">
      <c r="A1" s="80" t="s">
        <v>30</v>
      </c>
      <c r="B1" s="82" t="s">
        <v>141</v>
      </c>
    </row>
    <row r="2" spans="1:2" x14ac:dyDescent="0.35">
      <c r="A2" s="82" t="s">
        <v>31</v>
      </c>
      <c r="B2" s="82" t="s">
        <v>138</v>
      </c>
    </row>
    <row r="3" spans="1:2" x14ac:dyDescent="0.35">
      <c r="A3" s="83">
        <v>29632</v>
      </c>
      <c r="B3" s="82">
        <v>-3685</v>
      </c>
    </row>
    <row r="4" spans="1:2" x14ac:dyDescent="0.35">
      <c r="A4" s="83">
        <v>29721</v>
      </c>
      <c r="B4" s="82">
        <v>-4256</v>
      </c>
    </row>
    <row r="5" spans="1:2" x14ac:dyDescent="0.35">
      <c r="A5" s="83">
        <v>29813</v>
      </c>
      <c r="B5" s="82">
        <v>-4353</v>
      </c>
    </row>
    <row r="6" spans="1:2" x14ac:dyDescent="0.35">
      <c r="A6" s="83">
        <v>29905</v>
      </c>
      <c r="B6" s="82">
        <v>-3104</v>
      </c>
    </row>
    <row r="7" spans="1:2" x14ac:dyDescent="0.35">
      <c r="A7" s="83">
        <v>29997</v>
      </c>
      <c r="B7" s="82">
        <v>-427</v>
      </c>
    </row>
    <row r="8" spans="1:2" x14ac:dyDescent="0.35">
      <c r="A8" s="83">
        <v>30086</v>
      </c>
      <c r="B8" s="82">
        <v>376</v>
      </c>
    </row>
    <row r="9" spans="1:2" x14ac:dyDescent="0.35">
      <c r="A9" s="83">
        <v>30178</v>
      </c>
      <c r="B9" s="82">
        <v>1598</v>
      </c>
    </row>
    <row r="10" spans="1:2" x14ac:dyDescent="0.35">
      <c r="A10" s="83">
        <v>30270</v>
      </c>
      <c r="B10" s="82">
        <v>337</v>
      </c>
    </row>
    <row r="11" spans="1:2" x14ac:dyDescent="0.35">
      <c r="A11" s="83">
        <v>30362</v>
      </c>
      <c r="B11" s="82">
        <v>-468</v>
      </c>
    </row>
    <row r="12" spans="1:2" x14ac:dyDescent="0.35">
      <c r="A12" s="83">
        <v>30451</v>
      </c>
      <c r="B12" s="82">
        <v>92</v>
      </c>
    </row>
    <row r="13" spans="1:2" x14ac:dyDescent="0.35">
      <c r="A13" s="83">
        <v>30543</v>
      </c>
      <c r="B13" s="82">
        <v>-1301</v>
      </c>
    </row>
    <row r="14" spans="1:2" x14ac:dyDescent="0.35">
      <c r="A14" s="83">
        <v>30635</v>
      </c>
      <c r="B14" s="82">
        <v>-1854</v>
      </c>
    </row>
    <row r="15" spans="1:2" x14ac:dyDescent="0.35">
      <c r="A15" s="83">
        <v>30727</v>
      </c>
      <c r="B15" s="82">
        <v>-1410</v>
      </c>
    </row>
    <row r="16" spans="1:2" x14ac:dyDescent="0.35">
      <c r="A16" s="83">
        <v>30817</v>
      </c>
      <c r="B16" s="82">
        <v>-804</v>
      </c>
    </row>
    <row r="17" spans="1:2" x14ac:dyDescent="0.35">
      <c r="A17" s="83">
        <v>30909</v>
      </c>
      <c r="B17" s="82">
        <v>-400</v>
      </c>
    </row>
    <row r="18" spans="1:2" x14ac:dyDescent="0.35">
      <c r="A18" s="83">
        <v>31001</v>
      </c>
      <c r="B18" s="82">
        <v>503</v>
      </c>
    </row>
    <row r="19" spans="1:2" x14ac:dyDescent="0.35">
      <c r="A19" s="83">
        <v>31093</v>
      </c>
      <c r="B19" s="82">
        <v>-488</v>
      </c>
    </row>
    <row r="20" spans="1:2" x14ac:dyDescent="0.35">
      <c r="A20" s="83">
        <v>31182</v>
      </c>
      <c r="B20" s="82">
        <v>-1981</v>
      </c>
    </row>
    <row r="21" spans="1:2" x14ac:dyDescent="0.35">
      <c r="A21" s="83">
        <v>31274</v>
      </c>
      <c r="B21" s="82">
        <v>-3007</v>
      </c>
    </row>
    <row r="22" spans="1:2" x14ac:dyDescent="0.35">
      <c r="A22" s="83">
        <v>31366</v>
      </c>
      <c r="B22" s="82">
        <v>-2819</v>
      </c>
    </row>
    <row r="23" spans="1:2" x14ac:dyDescent="0.35">
      <c r="A23" s="83">
        <v>31458</v>
      </c>
      <c r="B23" s="82">
        <v>-4137</v>
      </c>
    </row>
    <row r="24" spans="1:2" x14ac:dyDescent="0.35">
      <c r="A24" s="83">
        <v>31547</v>
      </c>
      <c r="B24" s="82">
        <v>-3844</v>
      </c>
    </row>
    <row r="25" spans="1:2" x14ac:dyDescent="0.35">
      <c r="A25" s="83">
        <v>31639</v>
      </c>
      <c r="B25" s="82">
        <v>-4301</v>
      </c>
    </row>
    <row r="26" spans="1:2" x14ac:dyDescent="0.35">
      <c r="A26" s="83">
        <v>31731</v>
      </c>
      <c r="B26" s="82">
        <v>-3833</v>
      </c>
    </row>
    <row r="27" spans="1:2" x14ac:dyDescent="0.35">
      <c r="A27" s="83">
        <v>31823</v>
      </c>
      <c r="B27" s="82">
        <v>-3511</v>
      </c>
    </row>
    <row r="28" spans="1:2" x14ac:dyDescent="0.35">
      <c r="A28" s="83">
        <v>31912</v>
      </c>
      <c r="B28" s="82">
        <v>-4025</v>
      </c>
    </row>
    <row r="29" spans="1:2" x14ac:dyDescent="0.35">
      <c r="A29" s="83">
        <v>32004</v>
      </c>
      <c r="B29" s="82">
        <v>-4602</v>
      </c>
    </row>
    <row r="30" spans="1:2" x14ac:dyDescent="0.35">
      <c r="A30" s="83">
        <v>32096</v>
      </c>
      <c r="B30" s="82">
        <v>-6370</v>
      </c>
    </row>
    <row r="31" spans="1:2" x14ac:dyDescent="0.35">
      <c r="A31" s="83">
        <v>32188</v>
      </c>
      <c r="B31" s="82">
        <v>-4804</v>
      </c>
    </row>
    <row r="32" spans="1:2" x14ac:dyDescent="0.35">
      <c r="A32" s="83">
        <v>32278</v>
      </c>
      <c r="B32" s="82">
        <v>-4145</v>
      </c>
    </row>
    <row r="33" spans="1:2" x14ac:dyDescent="0.35">
      <c r="A33" s="83">
        <v>32370</v>
      </c>
      <c r="B33" s="82">
        <v>-5768</v>
      </c>
    </row>
    <row r="34" spans="1:2" x14ac:dyDescent="0.35">
      <c r="A34" s="83">
        <v>32462</v>
      </c>
      <c r="B34" s="82">
        <v>-4469</v>
      </c>
    </row>
    <row r="35" spans="1:2" x14ac:dyDescent="0.35">
      <c r="A35" s="83">
        <v>32554</v>
      </c>
      <c r="B35" s="82">
        <v>-5214</v>
      </c>
    </row>
    <row r="36" spans="1:2" x14ac:dyDescent="0.35">
      <c r="A36" s="83">
        <v>32643</v>
      </c>
      <c r="B36" s="82">
        <v>-7351</v>
      </c>
    </row>
    <row r="37" spans="1:2" x14ac:dyDescent="0.35">
      <c r="A37" s="83">
        <v>32735</v>
      </c>
      <c r="B37" s="82">
        <v>-6724</v>
      </c>
    </row>
    <row r="38" spans="1:2" x14ac:dyDescent="0.35">
      <c r="A38" s="83">
        <v>32827</v>
      </c>
      <c r="B38" s="82">
        <v>-7278</v>
      </c>
    </row>
    <row r="39" spans="1:2" x14ac:dyDescent="0.35">
      <c r="A39" s="83">
        <v>32919</v>
      </c>
      <c r="B39" s="82">
        <v>-7402</v>
      </c>
    </row>
    <row r="40" spans="1:2" x14ac:dyDescent="0.35">
      <c r="A40" s="83">
        <v>33008</v>
      </c>
      <c r="B40" s="82">
        <v>-5404</v>
      </c>
    </row>
    <row r="41" spans="1:2" x14ac:dyDescent="0.35">
      <c r="A41" s="83">
        <v>33100</v>
      </c>
      <c r="B41" s="82">
        <v>-5093</v>
      </c>
    </row>
    <row r="42" spans="1:2" x14ac:dyDescent="0.35">
      <c r="A42" s="83">
        <v>33192</v>
      </c>
      <c r="B42" s="82">
        <v>-5972</v>
      </c>
    </row>
    <row r="43" spans="1:2" x14ac:dyDescent="0.35">
      <c r="A43" s="83">
        <v>33284</v>
      </c>
      <c r="B43" s="82">
        <v>-6444</v>
      </c>
    </row>
    <row r="44" spans="1:2" x14ac:dyDescent="0.35">
      <c r="A44" s="83">
        <v>33373</v>
      </c>
      <c r="B44" s="82">
        <v>-6067</v>
      </c>
    </row>
    <row r="45" spans="1:2" x14ac:dyDescent="0.35">
      <c r="A45" s="83">
        <v>33465</v>
      </c>
      <c r="B45" s="82">
        <v>-7136</v>
      </c>
    </row>
    <row r="46" spans="1:2" x14ac:dyDescent="0.35">
      <c r="A46" s="83">
        <v>33557</v>
      </c>
      <c r="B46" s="82">
        <v>-6525</v>
      </c>
    </row>
    <row r="47" spans="1:2" x14ac:dyDescent="0.35">
      <c r="A47" s="83">
        <v>33649</v>
      </c>
      <c r="B47" s="82">
        <v>-7265</v>
      </c>
    </row>
    <row r="48" spans="1:2" x14ac:dyDescent="0.35">
      <c r="A48" s="83">
        <v>33739</v>
      </c>
      <c r="B48" s="82">
        <v>-6608</v>
      </c>
    </row>
    <row r="49" spans="1:2" x14ac:dyDescent="0.35">
      <c r="A49" s="83">
        <v>33831</v>
      </c>
      <c r="B49" s="82">
        <v>-6901</v>
      </c>
    </row>
    <row r="50" spans="1:2" x14ac:dyDescent="0.35">
      <c r="A50" s="83">
        <v>33923</v>
      </c>
      <c r="B50" s="82">
        <v>-5142</v>
      </c>
    </row>
    <row r="51" spans="1:2" x14ac:dyDescent="0.35">
      <c r="A51" s="83">
        <v>34015</v>
      </c>
      <c r="B51" s="82">
        <v>-6062</v>
      </c>
    </row>
    <row r="52" spans="1:2" x14ac:dyDescent="0.35">
      <c r="A52" s="83">
        <v>34104</v>
      </c>
      <c r="B52" s="82">
        <v>-6832</v>
      </c>
    </row>
    <row r="53" spans="1:2" x14ac:dyDescent="0.35">
      <c r="A53" s="83">
        <v>34196</v>
      </c>
      <c r="B53" s="82">
        <v>-7758</v>
      </c>
    </row>
    <row r="54" spans="1:2" x14ac:dyDescent="0.35">
      <c r="A54" s="83">
        <v>34288</v>
      </c>
      <c r="B54" s="82">
        <v>-8012</v>
      </c>
    </row>
    <row r="55" spans="1:2" x14ac:dyDescent="0.35">
      <c r="A55" s="83">
        <v>34380</v>
      </c>
      <c r="B55" s="82">
        <v>-5351</v>
      </c>
    </row>
    <row r="56" spans="1:2" x14ac:dyDescent="0.35">
      <c r="A56" s="83">
        <v>34469</v>
      </c>
      <c r="B56" s="82">
        <v>-6395</v>
      </c>
    </row>
    <row r="57" spans="1:2" x14ac:dyDescent="0.35">
      <c r="A57" s="83">
        <v>34561</v>
      </c>
      <c r="B57" s="82">
        <v>-3571</v>
      </c>
    </row>
    <row r="58" spans="1:2" x14ac:dyDescent="0.35">
      <c r="A58" s="83">
        <v>34653</v>
      </c>
      <c r="B58" s="82">
        <v>-3499</v>
      </c>
    </row>
    <row r="59" spans="1:2" x14ac:dyDescent="0.35">
      <c r="A59" s="83">
        <v>34745</v>
      </c>
      <c r="B59" s="82">
        <v>-1706</v>
      </c>
    </row>
    <row r="60" spans="1:2" x14ac:dyDescent="0.35">
      <c r="A60" s="83">
        <v>34834</v>
      </c>
      <c r="B60" s="82">
        <v>-4350</v>
      </c>
    </row>
    <row r="61" spans="1:2" x14ac:dyDescent="0.35">
      <c r="A61" s="83">
        <v>34926</v>
      </c>
      <c r="B61" s="82">
        <v>-1834</v>
      </c>
    </row>
    <row r="62" spans="1:2" x14ac:dyDescent="0.35">
      <c r="A62" s="83">
        <v>35018</v>
      </c>
      <c r="B62" s="82">
        <v>1046</v>
      </c>
    </row>
    <row r="63" spans="1:2" x14ac:dyDescent="0.35">
      <c r="A63" s="83">
        <v>35110</v>
      </c>
      <c r="B63" s="82">
        <v>22</v>
      </c>
    </row>
    <row r="64" spans="1:2" x14ac:dyDescent="0.35">
      <c r="A64" s="83">
        <v>35200</v>
      </c>
      <c r="B64" s="82">
        <v>2565</v>
      </c>
    </row>
    <row r="65" spans="1:2" x14ac:dyDescent="0.35">
      <c r="A65" s="83">
        <v>35292</v>
      </c>
      <c r="B65" s="82">
        <v>1012</v>
      </c>
    </row>
    <row r="66" spans="1:2" x14ac:dyDescent="0.35">
      <c r="A66" s="83">
        <v>35384</v>
      </c>
      <c r="B66" s="82">
        <v>-28</v>
      </c>
    </row>
    <row r="67" spans="1:2" x14ac:dyDescent="0.35">
      <c r="A67" s="83">
        <v>35476</v>
      </c>
      <c r="B67" s="82">
        <v>-727</v>
      </c>
    </row>
    <row r="68" spans="1:2" x14ac:dyDescent="0.35">
      <c r="A68" s="83">
        <v>35565</v>
      </c>
      <c r="B68" s="82">
        <v>-2314</v>
      </c>
    </row>
    <row r="69" spans="1:2" x14ac:dyDescent="0.35">
      <c r="A69" s="83">
        <v>35657</v>
      </c>
      <c r="B69" s="82">
        <v>-5584</v>
      </c>
    </row>
    <row r="70" spans="1:2" x14ac:dyDescent="0.35">
      <c r="A70" s="83">
        <v>35749</v>
      </c>
      <c r="B70" s="82">
        <v>-3504</v>
      </c>
    </row>
    <row r="71" spans="1:2" x14ac:dyDescent="0.35">
      <c r="A71" s="83">
        <v>35841</v>
      </c>
      <c r="B71" s="82">
        <v>-3901</v>
      </c>
    </row>
    <row r="72" spans="1:2" x14ac:dyDescent="0.35">
      <c r="A72" s="83">
        <v>35930</v>
      </c>
      <c r="B72" s="82">
        <v>-3743</v>
      </c>
    </row>
    <row r="73" spans="1:2" x14ac:dyDescent="0.35">
      <c r="A73" s="83">
        <v>36022</v>
      </c>
      <c r="B73" s="82">
        <v>-2699</v>
      </c>
    </row>
    <row r="74" spans="1:2" x14ac:dyDescent="0.35">
      <c r="A74" s="83">
        <v>36114</v>
      </c>
      <c r="B74" s="82">
        <v>-2245</v>
      </c>
    </row>
    <row r="75" spans="1:2" x14ac:dyDescent="0.35">
      <c r="A75" s="83">
        <v>36206</v>
      </c>
      <c r="B75" s="82">
        <v>-358</v>
      </c>
    </row>
    <row r="76" spans="1:2" x14ac:dyDescent="0.35">
      <c r="A76" s="83">
        <v>36295</v>
      </c>
      <c r="B76" s="82">
        <v>-627</v>
      </c>
    </row>
    <row r="77" spans="1:2" x14ac:dyDescent="0.35">
      <c r="A77" s="83">
        <v>36387</v>
      </c>
      <c r="B77" s="82">
        <v>1849</v>
      </c>
    </row>
    <row r="78" spans="1:2" x14ac:dyDescent="0.35">
      <c r="A78" s="83">
        <v>36479</v>
      </c>
      <c r="B78" s="82">
        <v>937</v>
      </c>
    </row>
    <row r="79" spans="1:2" x14ac:dyDescent="0.35">
      <c r="A79" s="83">
        <v>36571</v>
      </c>
      <c r="B79" s="82">
        <v>5582</v>
      </c>
    </row>
    <row r="80" spans="1:2" x14ac:dyDescent="0.35">
      <c r="A80" s="83">
        <v>36661</v>
      </c>
      <c r="B80" s="82">
        <v>6171</v>
      </c>
    </row>
    <row r="81" spans="1:2" x14ac:dyDescent="0.35">
      <c r="A81" s="83">
        <v>36753</v>
      </c>
      <c r="B81" s="82">
        <v>7720</v>
      </c>
    </row>
    <row r="82" spans="1:2" x14ac:dyDescent="0.35">
      <c r="A82" s="83">
        <v>36845</v>
      </c>
      <c r="B82" s="82">
        <v>8735</v>
      </c>
    </row>
    <row r="83" spans="1:2" x14ac:dyDescent="0.35">
      <c r="A83" s="83">
        <v>36937</v>
      </c>
      <c r="B83" s="82">
        <v>10680</v>
      </c>
    </row>
    <row r="84" spans="1:2" x14ac:dyDescent="0.35">
      <c r="A84" s="83">
        <v>37026</v>
      </c>
      <c r="B84" s="82">
        <v>7332</v>
      </c>
    </row>
    <row r="85" spans="1:2" x14ac:dyDescent="0.35">
      <c r="A85" s="83">
        <v>37118</v>
      </c>
      <c r="B85" s="82">
        <v>4100</v>
      </c>
    </row>
    <row r="86" spans="1:2" x14ac:dyDescent="0.35">
      <c r="A86" s="83">
        <v>37210</v>
      </c>
      <c r="B86" s="82">
        <v>3213</v>
      </c>
    </row>
    <row r="87" spans="1:2" x14ac:dyDescent="0.35">
      <c r="A87" s="83">
        <v>37302</v>
      </c>
      <c r="B87" s="82">
        <v>7087</v>
      </c>
    </row>
    <row r="88" spans="1:2" x14ac:dyDescent="0.35">
      <c r="A88" s="83">
        <v>37391</v>
      </c>
      <c r="B88" s="82">
        <v>5525</v>
      </c>
    </row>
    <row r="89" spans="1:2" x14ac:dyDescent="0.35">
      <c r="A89" s="83">
        <v>37483</v>
      </c>
      <c r="B89" s="82">
        <v>4226</v>
      </c>
    </row>
    <row r="90" spans="1:2" x14ac:dyDescent="0.35">
      <c r="A90" s="83">
        <v>37575</v>
      </c>
      <c r="B90" s="82">
        <v>3876</v>
      </c>
    </row>
    <row r="91" spans="1:2" x14ac:dyDescent="0.35">
      <c r="A91" s="83">
        <v>37667</v>
      </c>
      <c r="B91" s="82">
        <v>3645</v>
      </c>
    </row>
    <row r="92" spans="1:2" x14ac:dyDescent="0.35">
      <c r="A92" s="83">
        <v>37756</v>
      </c>
      <c r="B92" s="82">
        <v>947</v>
      </c>
    </row>
    <row r="93" spans="1:2" x14ac:dyDescent="0.35">
      <c r="A93" s="83">
        <v>37848</v>
      </c>
      <c r="B93" s="82">
        <v>5219</v>
      </c>
    </row>
    <row r="94" spans="1:2" x14ac:dyDescent="0.35">
      <c r="A94" s="83">
        <v>37940</v>
      </c>
      <c r="B94" s="82">
        <v>5636</v>
      </c>
    </row>
    <row r="95" spans="1:2" x14ac:dyDescent="0.35">
      <c r="A95" s="83">
        <v>38032</v>
      </c>
      <c r="B95" s="82">
        <v>6825</v>
      </c>
    </row>
    <row r="96" spans="1:2" x14ac:dyDescent="0.35">
      <c r="A96" s="83">
        <v>38122</v>
      </c>
      <c r="B96" s="82">
        <v>9024</v>
      </c>
    </row>
    <row r="97" spans="1:2" x14ac:dyDescent="0.35">
      <c r="A97" s="83">
        <v>38214</v>
      </c>
      <c r="B97" s="82">
        <v>7909</v>
      </c>
    </row>
    <row r="98" spans="1:2" x14ac:dyDescent="0.35">
      <c r="A98" s="83">
        <v>38306</v>
      </c>
      <c r="B98" s="82">
        <v>7566</v>
      </c>
    </row>
    <row r="99" spans="1:2" x14ac:dyDescent="0.35">
      <c r="A99" s="83">
        <v>38398</v>
      </c>
      <c r="B99" s="82">
        <v>3116</v>
      </c>
    </row>
    <row r="100" spans="1:2" x14ac:dyDescent="0.35">
      <c r="A100" s="83">
        <v>38487</v>
      </c>
      <c r="B100" s="82">
        <v>3880</v>
      </c>
    </row>
    <row r="101" spans="1:2" x14ac:dyDescent="0.35">
      <c r="A101" s="83">
        <v>38579</v>
      </c>
      <c r="B101" s="82">
        <v>7913</v>
      </c>
    </row>
    <row r="102" spans="1:2" x14ac:dyDescent="0.35">
      <c r="A102" s="83">
        <v>38671</v>
      </c>
      <c r="B102" s="82">
        <v>12492</v>
      </c>
    </row>
    <row r="103" spans="1:2" x14ac:dyDescent="0.35">
      <c r="A103" s="83">
        <v>38763</v>
      </c>
      <c r="B103" s="82">
        <v>6827</v>
      </c>
    </row>
    <row r="104" spans="1:2" x14ac:dyDescent="0.35">
      <c r="A104" s="83">
        <v>38852</v>
      </c>
      <c r="B104" s="82">
        <v>4529</v>
      </c>
    </row>
    <row r="105" spans="1:2" x14ac:dyDescent="0.35">
      <c r="A105" s="83">
        <v>38944</v>
      </c>
      <c r="B105" s="82">
        <v>4934</v>
      </c>
    </row>
    <row r="106" spans="1:2" x14ac:dyDescent="0.35">
      <c r="A106" s="83">
        <v>39036</v>
      </c>
      <c r="B106" s="82">
        <v>5335</v>
      </c>
    </row>
    <row r="107" spans="1:2" x14ac:dyDescent="0.35">
      <c r="A107" s="83">
        <v>39128</v>
      </c>
      <c r="B107">
        <v>3970</v>
      </c>
    </row>
    <row r="108" spans="1:2" x14ac:dyDescent="0.35">
      <c r="A108" s="83">
        <v>39217</v>
      </c>
      <c r="B108">
        <v>5906</v>
      </c>
    </row>
    <row r="109" spans="1:2" x14ac:dyDescent="0.35">
      <c r="A109" s="83">
        <v>39309</v>
      </c>
      <c r="B109">
        <v>1222</v>
      </c>
    </row>
    <row r="110" spans="1:2" x14ac:dyDescent="0.35">
      <c r="A110" s="83">
        <v>39401</v>
      </c>
      <c r="B110">
        <v>1891</v>
      </c>
    </row>
    <row r="111" spans="1:2" x14ac:dyDescent="0.35">
      <c r="A111" s="83">
        <v>39493</v>
      </c>
      <c r="B111">
        <v>3691</v>
      </c>
    </row>
    <row r="112" spans="1:2" x14ac:dyDescent="0.35">
      <c r="A112" s="83">
        <v>39583</v>
      </c>
      <c r="B112">
        <v>5570</v>
      </c>
    </row>
    <row r="113" spans="1:2" x14ac:dyDescent="0.35">
      <c r="A113" s="83">
        <v>39675</v>
      </c>
      <c r="B113">
        <v>4074</v>
      </c>
    </row>
    <row r="114" spans="1:2" x14ac:dyDescent="0.35">
      <c r="A114" s="83">
        <v>39767</v>
      </c>
      <c r="B114">
        <v>-10895</v>
      </c>
    </row>
    <row r="115" spans="1:2" x14ac:dyDescent="0.35">
      <c r="A115" s="83">
        <v>39859</v>
      </c>
      <c r="B115">
        <v>-10665</v>
      </c>
    </row>
    <row r="116" spans="1:2" x14ac:dyDescent="0.35">
      <c r="A116" s="83">
        <v>39948</v>
      </c>
      <c r="B116">
        <v>-10941</v>
      </c>
    </row>
    <row r="117" spans="1:2" x14ac:dyDescent="0.35">
      <c r="A117" s="83">
        <v>40040</v>
      </c>
      <c r="B117">
        <v>-13019</v>
      </c>
    </row>
    <row r="118" spans="1:2" x14ac:dyDescent="0.35">
      <c r="A118" s="83">
        <v>40132</v>
      </c>
      <c r="B118">
        <v>-11090</v>
      </c>
    </row>
    <row r="119" spans="1:2" x14ac:dyDescent="0.35">
      <c r="A119" s="83">
        <v>40224</v>
      </c>
      <c r="B119">
        <v>-13318</v>
      </c>
    </row>
    <row r="120" spans="1:2" x14ac:dyDescent="0.35">
      <c r="A120" s="83">
        <v>40313</v>
      </c>
      <c r="B120">
        <v>-14502</v>
      </c>
    </row>
    <row r="121" spans="1:2" x14ac:dyDescent="0.35">
      <c r="A121" s="83">
        <v>40405</v>
      </c>
      <c r="B121">
        <v>-20035</v>
      </c>
    </row>
    <row r="122" spans="1:2" x14ac:dyDescent="0.35">
      <c r="A122" s="83">
        <v>40497</v>
      </c>
      <c r="B122">
        <v>-11496</v>
      </c>
    </row>
    <row r="123" spans="1:2" x14ac:dyDescent="0.35">
      <c r="A123" s="83">
        <v>40589</v>
      </c>
      <c r="B123">
        <v>-13405</v>
      </c>
    </row>
    <row r="124" spans="1:2" x14ac:dyDescent="0.35">
      <c r="A124" s="83">
        <v>40678</v>
      </c>
      <c r="B124">
        <v>-13715</v>
      </c>
    </row>
    <row r="125" spans="1:2" x14ac:dyDescent="0.35">
      <c r="A125" s="83">
        <v>40770</v>
      </c>
      <c r="B125">
        <v>-9923</v>
      </c>
    </row>
    <row r="126" spans="1:2" x14ac:dyDescent="0.35">
      <c r="A126" s="83">
        <v>40862</v>
      </c>
      <c r="B126">
        <v>-11068</v>
      </c>
    </row>
    <row r="127" spans="1:2" x14ac:dyDescent="0.35">
      <c r="A127" s="83">
        <v>40954</v>
      </c>
      <c r="B127">
        <v>-13187</v>
      </c>
    </row>
    <row r="128" spans="1:2" x14ac:dyDescent="0.35">
      <c r="A128" s="83">
        <v>41044</v>
      </c>
      <c r="B128">
        <v>-17328</v>
      </c>
    </row>
    <row r="129" spans="1:2" x14ac:dyDescent="0.35">
      <c r="A129" s="83">
        <v>41136</v>
      </c>
      <c r="B129">
        <v>-17288</v>
      </c>
    </row>
    <row r="130" spans="1:2" x14ac:dyDescent="0.35">
      <c r="A130" s="83">
        <v>41228</v>
      </c>
      <c r="B130">
        <v>-16776</v>
      </c>
    </row>
    <row r="131" spans="1:2" x14ac:dyDescent="0.35">
      <c r="A131" s="83">
        <v>41320</v>
      </c>
      <c r="B131">
        <v>-15119</v>
      </c>
    </row>
    <row r="132" spans="1:2" x14ac:dyDescent="0.35">
      <c r="A132" s="83">
        <v>41409</v>
      </c>
      <c r="B132">
        <v>-15599</v>
      </c>
    </row>
    <row r="133" spans="1:2" x14ac:dyDescent="0.35">
      <c r="A133" s="83">
        <v>41501</v>
      </c>
      <c r="B133">
        <v>-14062</v>
      </c>
    </row>
    <row r="134" spans="1:2" x14ac:dyDescent="0.35">
      <c r="A134" s="83">
        <v>41593</v>
      </c>
      <c r="B134">
        <v>-14979</v>
      </c>
    </row>
    <row r="135" spans="1:2" x14ac:dyDescent="0.35">
      <c r="A135" s="83">
        <v>41685</v>
      </c>
      <c r="B135">
        <v>-11805</v>
      </c>
    </row>
    <row r="136" spans="1:2" x14ac:dyDescent="0.35">
      <c r="A136" s="83">
        <v>41774</v>
      </c>
      <c r="B136">
        <v>-10216</v>
      </c>
    </row>
    <row r="137" spans="1:2" x14ac:dyDescent="0.35">
      <c r="A137" s="83">
        <v>41866</v>
      </c>
      <c r="B137">
        <v>-9549</v>
      </c>
    </row>
    <row r="138" spans="1:2" x14ac:dyDescent="0.35">
      <c r="A138" s="83">
        <v>41958</v>
      </c>
      <c r="B138">
        <v>-14709</v>
      </c>
    </row>
    <row r="139" spans="1:2" x14ac:dyDescent="0.35">
      <c r="A139" s="83">
        <v>42050</v>
      </c>
      <c r="B139">
        <v>-19319</v>
      </c>
    </row>
    <row r="140" spans="1:2" x14ac:dyDescent="0.35">
      <c r="A140" s="83">
        <v>42139</v>
      </c>
      <c r="B140">
        <v>-16654</v>
      </c>
    </row>
    <row r="141" spans="1:2" x14ac:dyDescent="0.35">
      <c r="A141" s="83">
        <v>42231</v>
      </c>
      <c r="B141">
        <v>-15683</v>
      </c>
    </row>
    <row r="142" spans="1:2" x14ac:dyDescent="0.35">
      <c r="A142" s="83">
        <v>42323</v>
      </c>
      <c r="B142">
        <v>-17913</v>
      </c>
    </row>
    <row r="143" spans="1:2" x14ac:dyDescent="0.35">
      <c r="A143" s="83">
        <v>42415</v>
      </c>
      <c r="B143">
        <v>-18642</v>
      </c>
    </row>
    <row r="144" spans="1:2" x14ac:dyDescent="0.35">
      <c r="A144" s="83">
        <v>42505</v>
      </c>
      <c r="B144">
        <v>-17807</v>
      </c>
    </row>
    <row r="145" spans="1:2" x14ac:dyDescent="0.35">
      <c r="A145" s="83">
        <v>42597</v>
      </c>
      <c r="B145">
        <v>-16411</v>
      </c>
    </row>
    <row r="146" spans="1:2" x14ac:dyDescent="0.35">
      <c r="A146" s="83">
        <v>42689</v>
      </c>
      <c r="B146">
        <v>-9693</v>
      </c>
    </row>
    <row r="147" spans="1:2" x14ac:dyDescent="0.35">
      <c r="A147" s="83">
        <v>42781</v>
      </c>
      <c r="B147">
        <v>-11625</v>
      </c>
    </row>
    <row r="148" spans="1:2" x14ac:dyDescent="0.35">
      <c r="A148" s="83">
        <v>42870</v>
      </c>
      <c r="B148">
        <v>-14277</v>
      </c>
    </row>
    <row r="149" spans="1:2" x14ac:dyDescent="0.35">
      <c r="A149" s="83">
        <v>42962</v>
      </c>
      <c r="B149">
        <v>-17975</v>
      </c>
    </row>
    <row r="150" spans="1:2" x14ac:dyDescent="0.35">
      <c r="A150" s="83">
        <v>43054</v>
      </c>
      <c r="B150">
        <v>-16316</v>
      </c>
    </row>
    <row r="151" spans="1:2" x14ac:dyDescent="0.35">
      <c r="A151" s="83">
        <v>43146</v>
      </c>
      <c r="B151">
        <v>-15344</v>
      </c>
    </row>
    <row r="152" spans="1:2" x14ac:dyDescent="0.35">
      <c r="A152" s="83">
        <v>43235</v>
      </c>
      <c r="B152">
        <v>-14462</v>
      </c>
    </row>
    <row r="153" spans="1:2" x14ac:dyDescent="0.35">
      <c r="A153" s="83">
        <v>43327</v>
      </c>
      <c r="B153">
        <v>-9949</v>
      </c>
    </row>
    <row r="154" spans="1:2" x14ac:dyDescent="0.35">
      <c r="A154" s="83">
        <v>43419</v>
      </c>
      <c r="B154">
        <v>-15744</v>
      </c>
    </row>
    <row r="155" spans="1:2" x14ac:dyDescent="0.35">
      <c r="A155" s="83">
        <v>43511</v>
      </c>
      <c r="B155">
        <v>-17344</v>
      </c>
    </row>
    <row r="156" spans="1:2" x14ac:dyDescent="0.35">
      <c r="A156" s="83">
        <v>43600</v>
      </c>
      <c r="B156">
        <v>-8423</v>
      </c>
    </row>
    <row r="157" spans="1:2" x14ac:dyDescent="0.35">
      <c r="A157" s="83">
        <v>43692</v>
      </c>
      <c r="B157">
        <v>-10864</v>
      </c>
    </row>
    <row r="158" spans="1:2" x14ac:dyDescent="0.35">
      <c r="A158" s="83">
        <v>43784</v>
      </c>
      <c r="B158">
        <v>-8757</v>
      </c>
    </row>
    <row r="159" spans="1:2" x14ac:dyDescent="0.35">
      <c r="A159" s="83">
        <v>43876</v>
      </c>
      <c r="B159" t="s">
        <v>135</v>
      </c>
    </row>
    <row r="160" spans="1:2" x14ac:dyDescent="0.35">
      <c r="A160" s="83">
        <v>43966</v>
      </c>
      <c r="B160" t="s">
        <v>135</v>
      </c>
    </row>
  </sheetData>
  <dataValidations count="1">
    <dataValidation allowBlank="1" showErrorMessage="1" promptTitle="TRAFO" prompt="$A$1:$B$160" sqref="A1" xr:uid="{15BCE76E-B4B0-437A-BFEE-2DC15A967245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BF97-BE31-403D-BBDD-5D921F3BE5A1}">
  <sheetPr codeName="Sheet3"/>
  <dimension ref="A1:N160"/>
  <sheetViews>
    <sheetView topLeftCell="A121" workbookViewId="0">
      <selection activeCell="A106" sqref="A106:B106"/>
    </sheetView>
  </sheetViews>
  <sheetFormatPr defaultRowHeight="14.5" x14ac:dyDescent="0.35"/>
  <cols>
    <col min="1" max="1" width="10.453125" bestFit="1" customWidth="1"/>
  </cols>
  <sheetData>
    <row r="1" spans="1:2" x14ac:dyDescent="0.35">
      <c r="A1" s="81" t="s">
        <v>30</v>
      </c>
      <c r="B1" s="82" t="s">
        <v>142</v>
      </c>
    </row>
    <row r="2" spans="1:2" x14ac:dyDescent="0.35">
      <c r="A2" s="82" t="s">
        <v>31</v>
      </c>
      <c r="B2" s="82" t="s">
        <v>139</v>
      </c>
    </row>
    <row r="3" spans="1:2" x14ac:dyDescent="0.35">
      <c r="A3" s="82" t="s">
        <v>144</v>
      </c>
      <c r="B3" s="82">
        <v>355992</v>
      </c>
    </row>
    <row r="4" spans="1:2" x14ac:dyDescent="0.35">
      <c r="A4" s="82" t="s">
        <v>145</v>
      </c>
      <c r="B4" s="82">
        <v>367992</v>
      </c>
    </row>
    <row r="5" spans="1:2" x14ac:dyDescent="0.35">
      <c r="A5" s="82" t="s">
        <v>146</v>
      </c>
      <c r="B5" s="82">
        <v>372820</v>
      </c>
    </row>
    <row r="6" spans="1:2" x14ac:dyDescent="0.35">
      <c r="A6" s="82" t="s">
        <v>147</v>
      </c>
      <c r="B6" s="82">
        <v>376628</v>
      </c>
    </row>
    <row r="7" spans="1:2" x14ac:dyDescent="0.35">
      <c r="A7" s="82" t="s">
        <v>148</v>
      </c>
      <c r="B7" s="82">
        <v>383004</v>
      </c>
    </row>
    <row r="8" spans="1:2" x14ac:dyDescent="0.35">
      <c r="A8" s="82" t="s">
        <v>149</v>
      </c>
      <c r="B8" s="82">
        <v>386516</v>
      </c>
    </row>
    <row r="9" spans="1:2" x14ac:dyDescent="0.35">
      <c r="A9" s="82" t="s">
        <v>150</v>
      </c>
      <c r="B9" s="82">
        <v>389560</v>
      </c>
    </row>
    <row r="10" spans="1:2" x14ac:dyDescent="0.35">
      <c r="A10" s="82" t="s">
        <v>151</v>
      </c>
      <c r="B10" s="82">
        <v>393644</v>
      </c>
    </row>
    <row r="11" spans="1:2" x14ac:dyDescent="0.35">
      <c r="A11" s="82" t="s">
        <v>152</v>
      </c>
      <c r="B11" s="82">
        <v>403236</v>
      </c>
    </row>
    <row r="12" spans="1:2" x14ac:dyDescent="0.35">
      <c r="A12" s="82" t="s">
        <v>153</v>
      </c>
      <c r="B12" s="82">
        <v>415804</v>
      </c>
    </row>
    <row r="13" spans="1:2" x14ac:dyDescent="0.35">
      <c r="A13" s="82" t="s">
        <v>154</v>
      </c>
      <c r="B13" s="82">
        <v>428960</v>
      </c>
    </row>
    <row r="14" spans="1:2" x14ac:dyDescent="0.35">
      <c r="A14" s="82" t="s">
        <v>155</v>
      </c>
      <c r="B14" s="82">
        <v>437264</v>
      </c>
    </row>
    <row r="15" spans="1:2" x14ac:dyDescent="0.35">
      <c r="A15" s="82" t="s">
        <v>156</v>
      </c>
      <c r="B15" s="82">
        <v>447840</v>
      </c>
    </row>
    <row r="16" spans="1:2" x14ac:dyDescent="0.35">
      <c r="A16" s="82" t="s">
        <v>157</v>
      </c>
      <c r="B16" s="82">
        <v>459552</v>
      </c>
    </row>
    <row r="17" spans="1:2" x14ac:dyDescent="0.35">
      <c r="A17" s="82" t="s">
        <v>158</v>
      </c>
      <c r="B17" s="82">
        <v>465180</v>
      </c>
    </row>
    <row r="18" spans="1:2" x14ac:dyDescent="0.35">
      <c r="A18" s="82" t="s">
        <v>159</v>
      </c>
      <c r="B18" s="82">
        <v>475372</v>
      </c>
    </row>
    <row r="19" spans="1:2" x14ac:dyDescent="0.35">
      <c r="A19" s="82" t="s">
        <v>160</v>
      </c>
      <c r="B19" s="82">
        <v>486096</v>
      </c>
    </row>
    <row r="20" spans="1:2" x14ac:dyDescent="0.35">
      <c r="A20" s="82" t="s">
        <v>161</v>
      </c>
      <c r="B20" s="82">
        <v>495352</v>
      </c>
    </row>
    <row r="21" spans="1:2" x14ac:dyDescent="0.35">
      <c r="A21" s="82" t="s">
        <v>162</v>
      </c>
      <c r="B21" s="82">
        <v>503872</v>
      </c>
    </row>
    <row r="22" spans="1:2" x14ac:dyDescent="0.35">
      <c r="A22" s="82" t="s">
        <v>163</v>
      </c>
      <c r="B22" s="82">
        <v>514788</v>
      </c>
    </row>
    <row r="23" spans="1:2" x14ac:dyDescent="0.35">
      <c r="A23" s="82" t="s">
        <v>164</v>
      </c>
      <c r="B23" s="82">
        <v>518612</v>
      </c>
    </row>
    <row r="24" spans="1:2" x14ac:dyDescent="0.35">
      <c r="A24" s="82" t="s">
        <v>165</v>
      </c>
      <c r="B24" s="82">
        <v>523844</v>
      </c>
    </row>
    <row r="25" spans="1:2" x14ac:dyDescent="0.35">
      <c r="A25" s="82" t="s">
        <v>166</v>
      </c>
      <c r="B25" s="82">
        <v>530220</v>
      </c>
    </row>
    <row r="26" spans="1:2" x14ac:dyDescent="0.35">
      <c r="A26" s="82" t="s">
        <v>167</v>
      </c>
      <c r="B26" s="82">
        <v>533844</v>
      </c>
    </row>
    <row r="27" spans="1:2" x14ac:dyDescent="0.35">
      <c r="A27" s="82" t="s">
        <v>168</v>
      </c>
      <c r="B27" s="82">
        <v>552484</v>
      </c>
    </row>
    <row r="28" spans="1:2" x14ac:dyDescent="0.35">
      <c r="A28" s="82" t="s">
        <v>169</v>
      </c>
      <c r="B28" s="82">
        <v>567420</v>
      </c>
    </row>
    <row r="29" spans="1:2" x14ac:dyDescent="0.35">
      <c r="A29" s="82" t="s">
        <v>170</v>
      </c>
      <c r="B29" s="82">
        <v>581680</v>
      </c>
    </row>
    <row r="30" spans="1:2" x14ac:dyDescent="0.35">
      <c r="A30" s="82" t="s">
        <v>171</v>
      </c>
      <c r="B30" s="82">
        <v>595760</v>
      </c>
    </row>
    <row r="31" spans="1:2" x14ac:dyDescent="0.35">
      <c r="A31" s="82" t="s">
        <v>172</v>
      </c>
      <c r="B31" s="82">
        <v>610948</v>
      </c>
    </row>
    <row r="32" spans="1:2" x14ac:dyDescent="0.35">
      <c r="A32" s="82" t="s">
        <v>173</v>
      </c>
      <c r="B32" s="82">
        <v>621168</v>
      </c>
    </row>
    <row r="33" spans="1:14" x14ac:dyDescent="0.35">
      <c r="A33" s="82" t="s">
        <v>174</v>
      </c>
      <c r="B33" s="82">
        <v>631392</v>
      </c>
    </row>
    <row r="34" spans="1:14" x14ac:dyDescent="0.35">
      <c r="A34" s="82" t="s">
        <v>175</v>
      </c>
      <c r="B34" s="82">
        <v>644068</v>
      </c>
    </row>
    <row r="35" spans="1:14" x14ac:dyDescent="0.35">
      <c r="A35" s="82" t="s">
        <v>176</v>
      </c>
      <c r="B35" s="82">
        <v>656160</v>
      </c>
    </row>
    <row r="36" spans="1:14" x14ac:dyDescent="0.35">
      <c r="A36" s="82" t="s">
        <v>177</v>
      </c>
      <c r="B36" s="82">
        <v>669792</v>
      </c>
    </row>
    <row r="37" spans="1:14" x14ac:dyDescent="0.35">
      <c r="A37" s="82" t="s">
        <v>178</v>
      </c>
      <c r="B37" s="82">
        <v>679132</v>
      </c>
    </row>
    <row r="38" spans="1:14" x14ac:dyDescent="0.35">
      <c r="A38" s="82" t="s">
        <v>179</v>
      </c>
      <c r="B38" s="82">
        <v>681232</v>
      </c>
      <c r="N38" s="80"/>
    </row>
    <row r="39" spans="1:14" x14ac:dyDescent="0.35">
      <c r="A39" s="82" t="s">
        <v>180</v>
      </c>
      <c r="B39" s="82">
        <v>691928</v>
      </c>
    </row>
    <row r="40" spans="1:14" x14ac:dyDescent="0.35">
      <c r="A40" s="82" t="s">
        <v>181</v>
      </c>
      <c r="B40" s="82">
        <v>695624</v>
      </c>
    </row>
    <row r="41" spans="1:14" x14ac:dyDescent="0.35">
      <c r="A41" s="82" t="s">
        <v>182</v>
      </c>
      <c r="B41" s="82">
        <v>697684</v>
      </c>
    </row>
    <row r="42" spans="1:14" x14ac:dyDescent="0.35">
      <c r="A42" s="82" t="s">
        <v>183</v>
      </c>
      <c r="B42" s="82">
        <v>696768</v>
      </c>
    </row>
    <row r="43" spans="1:14" x14ac:dyDescent="0.35">
      <c r="A43" s="82" t="s">
        <v>184</v>
      </c>
      <c r="B43" s="82">
        <v>694008</v>
      </c>
    </row>
    <row r="44" spans="1:14" x14ac:dyDescent="0.35">
      <c r="A44" s="82" t="s">
        <v>185</v>
      </c>
      <c r="B44" s="82">
        <v>701572</v>
      </c>
    </row>
    <row r="45" spans="1:14" x14ac:dyDescent="0.35">
      <c r="A45" s="82" t="s">
        <v>186</v>
      </c>
      <c r="B45" s="82">
        <v>704796</v>
      </c>
    </row>
    <row r="46" spans="1:14" x14ac:dyDescent="0.35">
      <c r="A46" s="82" t="s">
        <v>187</v>
      </c>
      <c r="B46" s="82">
        <v>706716</v>
      </c>
    </row>
    <row r="47" spans="1:14" x14ac:dyDescent="0.35">
      <c r="A47" s="82" t="s">
        <v>188</v>
      </c>
      <c r="B47" s="82">
        <v>710008</v>
      </c>
    </row>
    <row r="48" spans="1:14" x14ac:dyDescent="0.35">
      <c r="A48" s="82" t="s">
        <v>189</v>
      </c>
      <c r="B48" s="82">
        <v>714744</v>
      </c>
    </row>
    <row r="49" spans="1:2" x14ac:dyDescent="0.35">
      <c r="A49" s="82" t="s">
        <v>190</v>
      </c>
      <c r="B49" s="82">
        <v>721660</v>
      </c>
    </row>
    <row r="50" spans="1:2" x14ac:dyDescent="0.35">
      <c r="A50" s="82" t="s">
        <v>191</v>
      </c>
      <c r="B50" s="82">
        <v>727332</v>
      </c>
    </row>
    <row r="51" spans="1:2" x14ac:dyDescent="0.35">
      <c r="A51" s="82" t="s">
        <v>192</v>
      </c>
      <c r="B51" s="82">
        <v>733952</v>
      </c>
    </row>
    <row r="52" spans="1:2" x14ac:dyDescent="0.35">
      <c r="A52" s="82" t="s">
        <v>193</v>
      </c>
      <c r="B52" s="82">
        <v>745360</v>
      </c>
    </row>
    <row r="53" spans="1:2" x14ac:dyDescent="0.35">
      <c r="A53" s="82" t="s">
        <v>194</v>
      </c>
      <c r="B53" s="82">
        <v>750068</v>
      </c>
    </row>
    <row r="54" spans="1:2" x14ac:dyDescent="0.35">
      <c r="A54" s="82" t="s">
        <v>195</v>
      </c>
      <c r="B54" s="82">
        <v>758768</v>
      </c>
    </row>
    <row r="55" spans="1:2" x14ac:dyDescent="0.35">
      <c r="A55" s="82" t="s">
        <v>32</v>
      </c>
      <c r="B55" s="82">
        <v>772656</v>
      </c>
    </row>
    <row r="56" spans="1:2" x14ac:dyDescent="0.35">
      <c r="A56" s="82" t="s">
        <v>33</v>
      </c>
      <c r="B56" s="82">
        <v>783660</v>
      </c>
    </row>
    <row r="57" spans="1:2" x14ac:dyDescent="0.35">
      <c r="A57" s="82" t="s">
        <v>34</v>
      </c>
      <c r="B57" s="82">
        <v>800784</v>
      </c>
    </row>
    <row r="58" spans="1:2" x14ac:dyDescent="0.35">
      <c r="A58" s="82" t="s">
        <v>35</v>
      </c>
      <c r="B58" s="82">
        <v>810788</v>
      </c>
    </row>
    <row r="59" spans="1:2" x14ac:dyDescent="0.35">
      <c r="A59" s="82" t="s">
        <v>36</v>
      </c>
      <c r="B59" s="82">
        <v>823972</v>
      </c>
    </row>
    <row r="60" spans="1:2" x14ac:dyDescent="0.35">
      <c r="A60" s="82" t="s">
        <v>37</v>
      </c>
      <c r="B60" s="82">
        <v>828856</v>
      </c>
    </row>
    <row r="61" spans="1:2" x14ac:dyDescent="0.35">
      <c r="A61" s="82" t="s">
        <v>38</v>
      </c>
      <c r="B61" s="82">
        <v>832976</v>
      </c>
    </row>
    <row r="62" spans="1:2" x14ac:dyDescent="0.35">
      <c r="A62" s="82" t="s">
        <v>39</v>
      </c>
      <c r="B62" s="82">
        <v>840680</v>
      </c>
    </row>
    <row r="63" spans="1:2" x14ac:dyDescent="0.35">
      <c r="A63" s="82" t="s">
        <v>40</v>
      </c>
      <c r="B63" s="82">
        <v>844208</v>
      </c>
    </row>
    <row r="64" spans="1:2" x14ac:dyDescent="0.35">
      <c r="A64" s="82" t="s">
        <v>41</v>
      </c>
      <c r="B64" s="82">
        <v>852904</v>
      </c>
    </row>
    <row r="65" spans="1:2" x14ac:dyDescent="0.35">
      <c r="A65" s="82" t="s">
        <v>42</v>
      </c>
      <c r="B65" s="82">
        <v>864544</v>
      </c>
    </row>
    <row r="66" spans="1:2" x14ac:dyDescent="0.35">
      <c r="A66" s="82" t="s">
        <v>43</v>
      </c>
      <c r="B66" s="82">
        <v>877680</v>
      </c>
    </row>
    <row r="67" spans="1:2" x14ac:dyDescent="0.35">
      <c r="A67" s="82" t="s">
        <v>44</v>
      </c>
      <c r="B67" s="82">
        <v>891748</v>
      </c>
    </row>
    <row r="68" spans="1:2" x14ac:dyDescent="0.35">
      <c r="A68" s="82" t="s">
        <v>45</v>
      </c>
      <c r="B68" s="82">
        <v>899412</v>
      </c>
    </row>
    <row r="69" spans="1:2" x14ac:dyDescent="0.35">
      <c r="A69" s="82" t="s">
        <v>46</v>
      </c>
      <c r="B69" s="82">
        <v>912564</v>
      </c>
    </row>
    <row r="70" spans="1:2" x14ac:dyDescent="0.35">
      <c r="A70" s="82" t="s">
        <v>47</v>
      </c>
      <c r="B70" s="82">
        <v>923980</v>
      </c>
    </row>
    <row r="71" spans="1:2" x14ac:dyDescent="0.35">
      <c r="A71" s="82" t="s">
        <v>48</v>
      </c>
      <c r="B71" s="82">
        <v>934612</v>
      </c>
    </row>
    <row r="72" spans="1:2" x14ac:dyDescent="0.35">
      <c r="A72" s="82" t="s">
        <v>49</v>
      </c>
      <c r="B72" s="82">
        <v>935212</v>
      </c>
    </row>
    <row r="73" spans="1:2" x14ac:dyDescent="0.35">
      <c r="A73" s="82" t="s">
        <v>50</v>
      </c>
      <c r="B73" s="82">
        <v>938872</v>
      </c>
    </row>
    <row r="74" spans="1:2" x14ac:dyDescent="0.35">
      <c r="A74" s="82" t="s">
        <v>51</v>
      </c>
      <c r="B74" s="82">
        <v>953496</v>
      </c>
    </row>
    <row r="75" spans="1:2" x14ac:dyDescent="0.35">
      <c r="A75" s="82" t="s">
        <v>52</v>
      </c>
      <c r="B75" s="82">
        <v>975240</v>
      </c>
    </row>
    <row r="76" spans="1:2" x14ac:dyDescent="0.35">
      <c r="A76" s="82" t="s">
        <v>53</v>
      </c>
      <c r="B76" s="82">
        <v>994172</v>
      </c>
    </row>
    <row r="77" spans="1:2" x14ac:dyDescent="0.35">
      <c r="A77" s="82" t="s">
        <v>54</v>
      </c>
      <c r="B77" s="82">
        <v>1021308</v>
      </c>
    </row>
    <row r="78" spans="1:2" x14ac:dyDescent="0.35">
      <c r="A78" s="82" t="s">
        <v>55</v>
      </c>
      <c r="B78" s="82">
        <v>1040988</v>
      </c>
    </row>
    <row r="79" spans="1:2" x14ac:dyDescent="0.35">
      <c r="A79" s="82" t="s">
        <v>56</v>
      </c>
      <c r="B79" s="82">
        <v>1070188</v>
      </c>
    </row>
    <row r="80" spans="1:2" x14ac:dyDescent="0.35">
      <c r="A80" s="82" t="s">
        <v>57</v>
      </c>
      <c r="B80" s="82">
        <v>1099448</v>
      </c>
    </row>
    <row r="81" spans="1:2" x14ac:dyDescent="0.35">
      <c r="A81" s="82" t="s">
        <v>58</v>
      </c>
      <c r="B81" s="82">
        <v>1121768</v>
      </c>
    </row>
    <row r="82" spans="1:2" x14ac:dyDescent="0.35">
      <c r="A82" s="82" t="s">
        <v>59</v>
      </c>
      <c r="B82" s="82">
        <v>1132880</v>
      </c>
    </row>
    <row r="83" spans="1:2" x14ac:dyDescent="0.35">
      <c r="A83" s="82" t="s">
        <v>60</v>
      </c>
      <c r="B83" s="82">
        <v>1149924</v>
      </c>
    </row>
    <row r="84" spans="1:2" x14ac:dyDescent="0.35">
      <c r="A84" s="82" t="s">
        <v>61</v>
      </c>
      <c r="B84" s="82">
        <v>1152860</v>
      </c>
    </row>
    <row r="85" spans="1:2" x14ac:dyDescent="0.35">
      <c r="A85" s="82" t="s">
        <v>62</v>
      </c>
      <c r="B85" s="82">
        <v>1138804</v>
      </c>
    </row>
    <row r="86" spans="1:2" x14ac:dyDescent="0.35">
      <c r="A86" s="82" t="s">
        <v>63</v>
      </c>
      <c r="B86" s="82">
        <v>1136584</v>
      </c>
    </row>
    <row r="87" spans="1:2" x14ac:dyDescent="0.35">
      <c r="A87" s="82" t="s">
        <v>64</v>
      </c>
      <c r="B87" s="82">
        <v>1158640</v>
      </c>
    </row>
    <row r="88" spans="1:2" x14ac:dyDescent="0.35">
      <c r="A88" s="82" t="s">
        <v>65</v>
      </c>
      <c r="B88" s="82">
        <v>1185892</v>
      </c>
    </row>
    <row r="89" spans="1:2" x14ac:dyDescent="0.35">
      <c r="A89" s="82" t="s">
        <v>66</v>
      </c>
      <c r="B89" s="82">
        <v>1204144</v>
      </c>
    </row>
    <row r="90" spans="1:2" x14ac:dyDescent="0.35">
      <c r="A90" s="82" t="s">
        <v>67</v>
      </c>
      <c r="B90" s="82">
        <v>1226100</v>
      </c>
    </row>
    <row r="91" spans="1:2" x14ac:dyDescent="0.35">
      <c r="A91" s="82" t="s">
        <v>68</v>
      </c>
      <c r="B91" s="82">
        <v>1250088</v>
      </c>
    </row>
    <row r="92" spans="1:2" x14ac:dyDescent="0.35">
      <c r="A92" s="82" t="s">
        <v>69</v>
      </c>
      <c r="B92" s="82">
        <v>1237720</v>
      </c>
    </row>
    <row r="93" spans="1:2" x14ac:dyDescent="0.35">
      <c r="A93" s="82" t="s">
        <v>70</v>
      </c>
      <c r="B93" s="82">
        <v>1258296</v>
      </c>
    </row>
    <row r="94" spans="1:2" x14ac:dyDescent="0.35">
      <c r="A94" s="82" t="s">
        <v>71</v>
      </c>
      <c r="B94" s="82">
        <v>1272884</v>
      </c>
    </row>
    <row r="95" spans="1:2" x14ac:dyDescent="0.35">
      <c r="A95" s="82" t="s">
        <v>72</v>
      </c>
      <c r="B95" s="82">
        <v>1296216</v>
      </c>
    </row>
    <row r="96" spans="1:2" x14ac:dyDescent="0.35">
      <c r="A96" s="82" t="s">
        <v>73</v>
      </c>
      <c r="B96" s="82">
        <v>1328148</v>
      </c>
    </row>
    <row r="97" spans="1:2" x14ac:dyDescent="0.35">
      <c r="A97" s="82" t="s">
        <v>74</v>
      </c>
      <c r="B97" s="82">
        <v>1351480</v>
      </c>
    </row>
    <row r="98" spans="1:2" x14ac:dyDescent="0.35">
      <c r="A98" s="82" t="s">
        <v>75</v>
      </c>
      <c r="B98" s="82">
        <v>1367080</v>
      </c>
    </row>
    <row r="99" spans="1:2" x14ac:dyDescent="0.35">
      <c r="A99" s="82" t="s">
        <v>76</v>
      </c>
      <c r="B99" s="82">
        <v>1380324</v>
      </c>
    </row>
    <row r="100" spans="1:2" x14ac:dyDescent="0.35">
      <c r="A100" s="82" t="s">
        <v>77</v>
      </c>
      <c r="B100" s="82">
        <v>1399608</v>
      </c>
    </row>
    <row r="101" spans="1:2" x14ac:dyDescent="0.35">
      <c r="A101" s="82" t="s">
        <v>78</v>
      </c>
      <c r="B101" s="82">
        <v>1436992</v>
      </c>
    </row>
    <row r="102" spans="1:2" x14ac:dyDescent="0.35">
      <c r="A102" s="82" t="s">
        <v>79</v>
      </c>
      <c r="B102" s="82">
        <v>1469436</v>
      </c>
    </row>
    <row r="103" spans="1:2" x14ac:dyDescent="0.35">
      <c r="A103" s="82" t="s">
        <v>80</v>
      </c>
      <c r="B103" s="82">
        <v>1476000</v>
      </c>
    </row>
    <row r="104" spans="1:2" x14ac:dyDescent="0.35">
      <c r="A104" s="82" t="s">
        <v>81</v>
      </c>
      <c r="B104" s="82">
        <v>1490716</v>
      </c>
    </row>
    <row r="105" spans="1:2" x14ac:dyDescent="0.35">
      <c r="A105" s="82" t="s">
        <v>82</v>
      </c>
      <c r="B105" s="82">
        <v>1504936</v>
      </c>
    </row>
    <row r="106" spans="1:2" x14ac:dyDescent="0.35">
      <c r="A106" s="81" t="s">
        <v>83</v>
      </c>
      <c r="B106" s="82">
        <v>1514764</v>
      </c>
    </row>
    <row r="107" spans="1:2" x14ac:dyDescent="0.35">
      <c r="A107" s="82" t="s">
        <v>84</v>
      </c>
      <c r="B107">
        <v>1547276</v>
      </c>
    </row>
    <row r="108" spans="1:2" x14ac:dyDescent="0.35">
      <c r="A108" s="82" t="s">
        <v>85</v>
      </c>
      <c r="B108">
        <v>1576612</v>
      </c>
    </row>
    <row r="109" spans="1:2" x14ac:dyDescent="0.35">
      <c r="A109" s="82" t="s">
        <v>86</v>
      </c>
      <c r="B109">
        <v>1582248</v>
      </c>
    </row>
    <row r="110" spans="1:2" x14ac:dyDescent="0.35">
      <c r="A110" s="82" t="s">
        <v>87</v>
      </c>
      <c r="B110">
        <v>1604508</v>
      </c>
    </row>
    <row r="111" spans="1:2" x14ac:dyDescent="0.35">
      <c r="A111" s="82" t="s">
        <v>88</v>
      </c>
      <c r="B111">
        <v>1637296</v>
      </c>
    </row>
    <row r="112" spans="1:2" x14ac:dyDescent="0.35">
      <c r="A112" s="82" t="s">
        <v>89</v>
      </c>
      <c r="B112">
        <v>1677448</v>
      </c>
    </row>
    <row r="113" spans="1:2" x14ac:dyDescent="0.35">
      <c r="A113" s="82" t="s">
        <v>90</v>
      </c>
      <c r="B113">
        <v>1694512</v>
      </c>
    </row>
    <row r="114" spans="1:2" x14ac:dyDescent="0.35">
      <c r="A114" s="82" t="s">
        <v>91</v>
      </c>
      <c r="B114">
        <v>1618908</v>
      </c>
    </row>
    <row r="115" spans="1:2" x14ac:dyDescent="0.35">
      <c r="A115" s="82" t="s">
        <v>92</v>
      </c>
      <c r="B115">
        <v>1557232</v>
      </c>
    </row>
    <row r="116" spans="1:2" x14ac:dyDescent="0.35">
      <c r="A116" s="82" t="s">
        <v>93</v>
      </c>
      <c r="B116">
        <v>1548488</v>
      </c>
    </row>
    <row r="117" spans="1:2" x14ac:dyDescent="0.35">
      <c r="A117" s="82" t="s">
        <v>94</v>
      </c>
      <c r="B117">
        <v>1567924</v>
      </c>
    </row>
    <row r="118" spans="1:2" x14ac:dyDescent="0.35">
      <c r="A118" s="82" t="s">
        <v>95</v>
      </c>
      <c r="B118">
        <v>1611692</v>
      </c>
    </row>
    <row r="119" spans="1:2" x14ac:dyDescent="0.35">
      <c r="A119" s="82" t="s">
        <v>96</v>
      </c>
      <c r="B119">
        <v>1644032</v>
      </c>
    </row>
    <row r="120" spans="1:2" x14ac:dyDescent="0.35">
      <c r="A120" s="82" t="s">
        <v>97</v>
      </c>
      <c r="B120">
        <v>1653240</v>
      </c>
    </row>
    <row r="121" spans="1:2" x14ac:dyDescent="0.35">
      <c r="A121" s="82" t="s">
        <v>98</v>
      </c>
      <c r="B121">
        <v>1665372</v>
      </c>
    </row>
    <row r="122" spans="1:2" x14ac:dyDescent="0.35">
      <c r="A122" s="82" t="s">
        <v>99</v>
      </c>
      <c r="B122">
        <v>1701548</v>
      </c>
    </row>
    <row r="123" spans="1:2" x14ac:dyDescent="0.35">
      <c r="A123" s="82" t="s">
        <v>100</v>
      </c>
      <c r="B123">
        <v>1737952</v>
      </c>
    </row>
    <row r="124" spans="1:2" x14ac:dyDescent="0.35">
      <c r="A124" s="82" t="s">
        <v>101</v>
      </c>
      <c r="B124">
        <v>1759852</v>
      </c>
    </row>
    <row r="125" spans="1:2" x14ac:dyDescent="0.35">
      <c r="A125" s="82" t="s">
        <v>102</v>
      </c>
      <c r="B125">
        <v>1785748</v>
      </c>
    </row>
    <row r="126" spans="1:2" x14ac:dyDescent="0.35">
      <c r="A126" s="82" t="s">
        <v>103</v>
      </c>
      <c r="B126">
        <v>1812700</v>
      </c>
    </row>
    <row r="127" spans="1:2" x14ac:dyDescent="0.35">
      <c r="A127" s="82" t="s">
        <v>104</v>
      </c>
      <c r="B127">
        <v>1815120</v>
      </c>
    </row>
    <row r="128" spans="1:2" x14ac:dyDescent="0.35">
      <c r="A128" s="82" t="s">
        <v>105</v>
      </c>
      <c r="B128">
        <v>1818984</v>
      </c>
    </row>
    <row r="129" spans="1:2" x14ac:dyDescent="0.35">
      <c r="A129" s="82" t="s">
        <v>106</v>
      </c>
      <c r="B129">
        <v>1830636</v>
      </c>
    </row>
    <row r="130" spans="1:2" x14ac:dyDescent="0.35">
      <c r="A130" s="82" t="s">
        <v>107</v>
      </c>
      <c r="B130">
        <v>1844064</v>
      </c>
    </row>
    <row r="131" spans="1:2" x14ac:dyDescent="0.35">
      <c r="A131" s="82" t="s">
        <v>108</v>
      </c>
      <c r="B131">
        <v>1876844</v>
      </c>
    </row>
    <row r="132" spans="1:2" x14ac:dyDescent="0.35">
      <c r="A132" s="82" t="s">
        <v>109</v>
      </c>
      <c r="B132">
        <v>1886592</v>
      </c>
    </row>
    <row r="133" spans="1:2" x14ac:dyDescent="0.35">
      <c r="A133" s="82" t="s">
        <v>110</v>
      </c>
      <c r="B133">
        <v>1912428</v>
      </c>
    </row>
    <row r="134" spans="1:2" x14ac:dyDescent="0.35">
      <c r="A134" s="82" t="s">
        <v>111</v>
      </c>
      <c r="B134">
        <v>1933124</v>
      </c>
    </row>
    <row r="135" spans="1:2" x14ac:dyDescent="0.35">
      <c r="A135" s="82" t="s">
        <v>112</v>
      </c>
      <c r="B135">
        <v>1963452</v>
      </c>
    </row>
    <row r="136" spans="1:2" x14ac:dyDescent="0.35">
      <c r="A136" s="82" t="s">
        <v>113</v>
      </c>
      <c r="B136">
        <v>1988404</v>
      </c>
    </row>
    <row r="137" spans="1:2" x14ac:dyDescent="0.35">
      <c r="A137" s="82" t="s">
        <v>114</v>
      </c>
      <c r="B137">
        <v>2013792</v>
      </c>
    </row>
    <row r="138" spans="1:2" x14ac:dyDescent="0.35">
      <c r="A138" s="82" t="s">
        <v>115</v>
      </c>
      <c r="B138">
        <v>2013944</v>
      </c>
    </row>
    <row r="139" spans="1:2" x14ac:dyDescent="0.35">
      <c r="A139" s="82" t="s">
        <v>116</v>
      </c>
      <c r="B139">
        <v>1984300</v>
      </c>
    </row>
    <row r="140" spans="1:2" x14ac:dyDescent="0.35">
      <c r="A140" s="82" t="s">
        <v>117</v>
      </c>
      <c r="B140">
        <v>1984920</v>
      </c>
    </row>
    <row r="141" spans="1:2" x14ac:dyDescent="0.35">
      <c r="A141" s="82" t="s">
        <v>118</v>
      </c>
      <c r="B141">
        <v>2000864</v>
      </c>
    </row>
    <row r="142" spans="1:2" x14ac:dyDescent="0.35">
      <c r="A142" s="82" t="s">
        <v>119</v>
      </c>
      <c r="B142">
        <v>1991680</v>
      </c>
    </row>
    <row r="143" spans="1:2" x14ac:dyDescent="0.35">
      <c r="A143" s="82" t="s">
        <v>120</v>
      </c>
      <c r="B143">
        <v>1998420</v>
      </c>
    </row>
    <row r="144" spans="1:2" x14ac:dyDescent="0.35">
      <c r="A144" s="82" t="s">
        <v>121</v>
      </c>
      <c r="B144">
        <v>2002152</v>
      </c>
    </row>
    <row r="145" spans="1:2" x14ac:dyDescent="0.35">
      <c r="A145" s="82" t="s">
        <v>122</v>
      </c>
      <c r="B145">
        <v>2035420</v>
      </c>
    </row>
    <row r="146" spans="1:2" x14ac:dyDescent="0.35">
      <c r="A146" s="82" t="s">
        <v>123</v>
      </c>
      <c r="B146">
        <v>2066148</v>
      </c>
    </row>
    <row r="147" spans="1:2" x14ac:dyDescent="0.35">
      <c r="A147" s="82" t="s">
        <v>124</v>
      </c>
      <c r="B147">
        <v>2107708</v>
      </c>
    </row>
    <row r="148" spans="1:2" x14ac:dyDescent="0.35">
      <c r="A148" s="82" t="s">
        <v>125</v>
      </c>
      <c r="B148">
        <v>2130892</v>
      </c>
    </row>
    <row r="149" spans="1:2" x14ac:dyDescent="0.35">
      <c r="A149" s="82" t="s">
        <v>126</v>
      </c>
      <c r="B149">
        <v>2143864</v>
      </c>
    </row>
    <row r="150" spans="1:2" x14ac:dyDescent="0.35">
      <c r="A150" s="82" t="s">
        <v>127</v>
      </c>
      <c r="B150">
        <v>2181964</v>
      </c>
    </row>
    <row r="151" spans="1:2" x14ac:dyDescent="0.35">
      <c r="A151" s="82" t="s">
        <v>128</v>
      </c>
      <c r="B151">
        <v>2202260</v>
      </c>
    </row>
    <row r="152" spans="1:2" x14ac:dyDescent="0.35">
      <c r="A152" s="82" t="s">
        <v>129</v>
      </c>
      <c r="B152">
        <v>2219616</v>
      </c>
    </row>
    <row r="153" spans="1:2" x14ac:dyDescent="0.35">
      <c r="A153" s="82" t="s">
        <v>130</v>
      </c>
      <c r="B153">
        <v>2244092</v>
      </c>
    </row>
    <row r="154" spans="1:2" x14ac:dyDescent="0.35">
      <c r="A154" s="82" t="s">
        <v>131</v>
      </c>
      <c r="B154">
        <v>2229456</v>
      </c>
    </row>
    <row r="155" spans="1:2" x14ac:dyDescent="0.35">
      <c r="A155" s="82" t="s">
        <v>132</v>
      </c>
      <c r="B155">
        <v>2260360</v>
      </c>
    </row>
    <row r="156" spans="1:2" x14ac:dyDescent="0.35">
      <c r="A156" s="82" t="s">
        <v>133</v>
      </c>
      <c r="B156">
        <v>2305088</v>
      </c>
    </row>
    <row r="157" spans="1:2" x14ac:dyDescent="0.35">
      <c r="A157" s="82" t="s">
        <v>134</v>
      </c>
      <c r="B157">
        <v>2312284</v>
      </c>
    </row>
    <row r="158" spans="1:2" x14ac:dyDescent="0.35">
      <c r="A158" s="82" t="s">
        <v>196</v>
      </c>
      <c r="B158">
        <v>2337684</v>
      </c>
    </row>
    <row r="159" spans="1:2" x14ac:dyDescent="0.35">
      <c r="A159" s="82" t="s">
        <v>197</v>
      </c>
      <c r="B159" t="s">
        <v>135</v>
      </c>
    </row>
    <row r="160" spans="1:2" x14ac:dyDescent="0.35">
      <c r="A160" s="82" t="s">
        <v>198</v>
      </c>
      <c r="B160" t="s">
        <v>135</v>
      </c>
    </row>
  </sheetData>
  <dataValidations count="1">
    <dataValidation allowBlank="1" showErrorMessage="1" promptTitle="TRAFO" prompt="$A$1:$B$160" sqref="A1" xr:uid="{ED9EBFF4-BA43-4700-8531-724B0AFFC4BD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Current_Account </vt:lpstr>
      <vt:lpstr>Current_Account_M</vt:lpstr>
      <vt:lpstr>Nominal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2020-04-22T16:15:18Z</dcterms:modified>
</cp:coreProperties>
</file>